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フレシード齊田\Desktop\"/>
    </mc:Choice>
  </mc:AlternateContent>
  <xr:revisionPtr revIDLastSave="0" documentId="13_ncr:1_{0C16DE11-5E2B-41CA-9F3D-D8C58576B86D}" xr6:coauthVersionLast="47" xr6:coauthVersionMax="47" xr10:uidLastSave="{00000000-0000-0000-0000-000000000000}"/>
  <bookViews>
    <workbookView xWindow="-108" yWindow="-108" windowWidth="23256" windowHeight="13896" xr2:uid="{6B8549B6-0C67-4ED0-92E9-E992FA3609B3}"/>
  </bookViews>
  <sheets>
    <sheet name="原本" sheetId="33" r:id="rId1"/>
  </sheets>
  <definedNames>
    <definedName name="_xlnm.Print_Area" localSheetId="0">原本!$A$1:$AM$25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" i="33" l="1"/>
  <c r="Y23" i="33"/>
  <c r="R23" i="33"/>
  <c r="K23" i="33"/>
  <c r="AC6" i="33"/>
  <c r="AC5" i="33"/>
  <c r="AH24" i="33"/>
  <c r="AJ24" i="33" s="1"/>
  <c r="D23" i="33"/>
  <c r="AI22" i="33"/>
  <c r="C22" i="33"/>
  <c r="AJ18" i="33"/>
  <c r="AJ17" i="33"/>
  <c r="AJ16" i="33"/>
  <c r="AJ15" i="33"/>
  <c r="AJ14" i="33"/>
  <c r="AJ13" i="33"/>
  <c r="AJ12" i="33"/>
  <c r="AJ11" i="33"/>
  <c r="AJ10" i="33"/>
  <c r="D8" i="33"/>
  <c r="E8" i="33" s="1"/>
  <c r="F8" i="33" s="1"/>
  <c r="G8" i="33" s="1"/>
  <c r="H8" i="33" s="1"/>
  <c r="I8" i="33" s="1"/>
  <c r="J8" i="33" s="1"/>
  <c r="K8" i="33" s="1"/>
  <c r="L8" i="33" s="1"/>
  <c r="M8" i="33" s="1"/>
  <c r="N8" i="33" s="1"/>
  <c r="O8" i="33" s="1"/>
  <c r="P8" i="33" s="1"/>
  <c r="Q8" i="33" s="1"/>
  <c r="R8" i="33" s="1"/>
  <c r="S8" i="33" s="1"/>
  <c r="T8" i="33" s="1"/>
  <c r="U8" i="33" s="1"/>
  <c r="V8" i="33" s="1"/>
  <c r="W8" i="33" s="1"/>
  <c r="X8" i="33" s="1"/>
  <c r="Y8" i="33" s="1"/>
  <c r="Z8" i="33" s="1"/>
  <c r="AA8" i="33" s="1"/>
  <c r="AB8" i="33" s="1"/>
  <c r="AC8" i="33" s="1"/>
  <c r="AD8" i="33" s="1"/>
  <c r="AE8" i="33" s="1"/>
  <c r="AF8" i="33" s="1"/>
  <c r="AG8" i="33" s="1"/>
  <c r="AH8" i="33" s="1"/>
  <c r="AH23" i="33" s="1"/>
  <c r="E7" i="33"/>
  <c r="F7" i="33" s="1"/>
  <c r="G7" i="33" s="1"/>
  <c r="H7" i="33" s="1"/>
  <c r="I7" i="33" s="1"/>
  <c r="J7" i="33" s="1"/>
  <c r="K7" i="33" s="1"/>
  <c r="L7" i="33" s="1"/>
  <c r="M7" i="33" s="1"/>
  <c r="N7" i="33" s="1"/>
  <c r="O7" i="33" s="1"/>
  <c r="P7" i="33" s="1"/>
  <c r="Q7" i="33" s="1"/>
  <c r="R7" i="33" s="1"/>
  <c r="S7" i="33" s="1"/>
  <c r="T7" i="33" s="1"/>
  <c r="U7" i="33" s="1"/>
  <c r="V7" i="33" s="1"/>
  <c r="W7" i="33" s="1"/>
  <c r="X7" i="33" s="1"/>
  <c r="Y7" i="33" s="1"/>
  <c r="Z7" i="33" s="1"/>
  <c r="AA7" i="33" s="1"/>
  <c r="AB7" i="33" s="1"/>
  <c r="AC7" i="33" s="1"/>
  <c r="AD7" i="33" s="1"/>
  <c r="AE7" i="33" s="1"/>
  <c r="AF7" i="33" s="1"/>
  <c r="AG7" i="33" s="1"/>
  <c r="AH7" i="33" s="1"/>
  <c r="AH22" i="33" s="1"/>
  <c r="AJ22" i="33" s="1"/>
  <c r="AH6" i="33"/>
  <c r="AG6" i="33"/>
  <c r="AF6" i="33"/>
  <c r="AE6" i="33"/>
  <c r="AD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AH5" i="33"/>
  <c r="AG5" i="33"/>
  <c r="AF5" i="33"/>
  <c r="AE5" i="33"/>
  <c r="AD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Z23" i="33" l="1"/>
  <c r="AA23" i="33" s="1"/>
  <c r="AB23" i="33" s="1"/>
  <c r="AC23" i="33" s="1"/>
  <c r="AD23" i="33" s="1"/>
  <c r="AE23" i="33" s="1"/>
  <c r="E23" i="33"/>
  <c r="F23" i="33" s="1"/>
  <c r="G23" i="33" s="1"/>
  <c r="H23" i="33" s="1"/>
  <c r="I23" i="33" s="1"/>
  <c r="J23" i="33" s="1"/>
  <c r="S23" i="33"/>
  <c r="T23" i="33" s="1"/>
  <c r="U23" i="33" s="1"/>
  <c r="V23" i="33" s="1"/>
  <c r="W23" i="33" s="1"/>
  <c r="X23" i="33" s="1"/>
  <c r="AG23" i="33"/>
  <c r="L23" i="33"/>
  <c r="M23" i="33" s="1"/>
  <c r="N23" i="33" s="1"/>
  <c r="O23" i="33" s="1"/>
  <c r="P23" i="33" s="1"/>
  <c r="Q23" i="33" s="1"/>
  <c r="AJ23" i="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フレシード</author>
    <author>kakita</author>
  </authors>
  <commentList>
    <comment ref="C7" authorId="0" shapeId="0" xr:uid="{AFDA6C31-E2F2-4DBF-84E2-8FFFF85F234E}">
      <text>
        <r>
          <rPr>
            <b/>
            <sz val="9"/>
            <color indexed="81"/>
            <rFont val="ＭＳ Ｐゴシック"/>
            <family val="3"/>
            <charset val="128"/>
          </rPr>
          <t>フレシード:</t>
        </r>
        <r>
          <rPr>
            <sz val="9"/>
            <color indexed="81"/>
            <rFont val="ＭＳ Ｐゴシック"/>
            <family val="3"/>
            <charset val="128"/>
          </rPr>
          <t xml:space="preserve">
例「2014/2/1」と入力。</t>
        </r>
      </text>
    </comment>
    <comment ref="D7" authorId="1" shapeId="0" xr:uid="{0195A1F3-E828-4C5B-A553-C9A965DCBCC8}">
      <text>
        <r>
          <rPr>
            <b/>
            <sz val="12"/>
            <color indexed="81"/>
            <rFont val="ＭＳ Ｐゴシック"/>
            <family val="3"/>
            <charset val="128"/>
          </rPr>
          <t xml:space="preserve">曜日の欄は、数式が入っているので入力不要。
</t>
        </r>
      </text>
    </comment>
    <comment ref="AI7" authorId="0" shapeId="0" xr:uid="{6F5E8944-7A24-4DE0-BF65-1AB715C0DBFB}">
      <text>
        <r>
          <rPr>
            <b/>
            <sz val="9"/>
            <color indexed="81"/>
            <rFont val="ＭＳ Ｐゴシック"/>
            <family val="3"/>
            <charset val="128"/>
          </rPr>
          <t>フレシード:</t>
        </r>
        <r>
          <rPr>
            <sz val="9"/>
            <color indexed="81"/>
            <rFont val="ＭＳ Ｐゴシック"/>
            <family val="3"/>
            <charset val="128"/>
          </rPr>
          <t xml:space="preserve">
例「2014/2/1」と入力。</t>
        </r>
      </text>
    </comment>
    <comment ref="D8" authorId="1" shapeId="0" xr:uid="{8FD4D085-B8CF-4FD3-AD58-5800A376479F}">
      <text>
        <r>
          <rPr>
            <b/>
            <sz val="12"/>
            <color indexed="81"/>
            <rFont val="ＭＳ Ｐゴシック"/>
            <family val="3"/>
            <charset val="128"/>
          </rPr>
          <t xml:space="preserve">曜日の欄は、数式が入っているので入力不要。
</t>
        </r>
      </text>
    </comment>
  </commentList>
</comments>
</file>

<file path=xl/sharedStrings.xml><?xml version="1.0" encoding="utf-8"?>
<sst xmlns="http://schemas.openxmlformats.org/spreadsheetml/2006/main" count="35" uniqueCount="21">
  <si>
    <t>曜日</t>
    <rPh sb="0" eb="2">
      <t>ヨウビ</t>
    </rPh>
    <phoneticPr fontId="2"/>
  </si>
  <si>
    <t>暦</t>
    <rPh sb="0" eb="1">
      <t>コヨミ</t>
    </rPh>
    <phoneticPr fontId="2"/>
  </si>
  <si>
    <t>休数</t>
    <rPh sb="0" eb="1">
      <t>ヤス</t>
    </rPh>
    <rPh sb="1" eb="2">
      <t>カズ</t>
    </rPh>
    <phoneticPr fontId="2"/>
  </si>
  <si>
    <t>有給込み</t>
    <rPh sb="0" eb="2">
      <t>ユウキュウ</t>
    </rPh>
    <rPh sb="2" eb="3">
      <t>コ</t>
    </rPh>
    <phoneticPr fontId="2"/>
  </si>
  <si>
    <t>休日人数</t>
    <rPh sb="0" eb="2">
      <t>キュウジツ</t>
    </rPh>
    <rPh sb="2" eb="4">
      <t>ニンズウ</t>
    </rPh>
    <phoneticPr fontId="2"/>
  </si>
  <si>
    <t>齊田</t>
    <rPh sb="0" eb="2">
      <t>サイタ</t>
    </rPh>
    <phoneticPr fontId="2"/>
  </si>
  <si>
    <t>久保</t>
    <rPh sb="0" eb="2">
      <t>クボ</t>
    </rPh>
    <phoneticPr fontId="2"/>
  </si>
  <si>
    <t xml:space="preserve"> </t>
    <phoneticPr fontId="2"/>
  </si>
  <si>
    <t>森川</t>
    <rPh sb="0" eb="2">
      <t>モリカワ</t>
    </rPh>
    <phoneticPr fontId="2"/>
  </si>
  <si>
    <t>休日数9日</t>
    <rPh sb="0" eb="3">
      <t>キュウジツスウ</t>
    </rPh>
    <rPh sb="4" eb="5">
      <t>ニチ</t>
    </rPh>
    <phoneticPr fontId="2"/>
  </si>
  <si>
    <t>宮地</t>
    <rPh sb="0" eb="2">
      <t>ミヤチ</t>
    </rPh>
    <phoneticPr fontId="2"/>
  </si>
  <si>
    <t>上田</t>
    <rPh sb="0" eb="2">
      <t>ウエダ</t>
    </rPh>
    <phoneticPr fontId="2"/>
  </si>
  <si>
    <t>休日数10日</t>
    <rPh sb="0" eb="3">
      <t>キュウジツスウ</t>
    </rPh>
    <rPh sb="5" eb="6">
      <t>ニチ</t>
    </rPh>
    <phoneticPr fontId="2"/>
  </si>
  <si>
    <t>石山</t>
    <rPh sb="0" eb="2">
      <t>イシヤマ</t>
    </rPh>
    <phoneticPr fontId="2"/>
  </si>
  <si>
    <t>休日数10日</t>
    <rPh sb="0" eb="2">
      <t>キュウジツ</t>
    </rPh>
    <rPh sb="2" eb="3">
      <t>スウ</t>
    </rPh>
    <rPh sb="5" eb="6">
      <t>ニチ</t>
    </rPh>
    <phoneticPr fontId="2"/>
  </si>
  <si>
    <t>鈴村</t>
    <rPh sb="0" eb="2">
      <t>スズムラ</t>
    </rPh>
    <phoneticPr fontId="2"/>
  </si>
  <si>
    <t>週3 　6時間勤務9:00～15:00 月-火-木-金</t>
    <rPh sb="0" eb="1">
      <t>シュウ</t>
    </rPh>
    <rPh sb="20" eb="21">
      <t>ゲツ</t>
    </rPh>
    <rPh sb="22" eb="23">
      <t>カ</t>
    </rPh>
    <rPh sb="24" eb="25">
      <t>モク</t>
    </rPh>
    <rPh sb="26" eb="27">
      <t>キン</t>
    </rPh>
    <phoneticPr fontId="2"/>
  </si>
  <si>
    <t>週５　9：00～18:00</t>
    <phoneticPr fontId="2"/>
  </si>
  <si>
    <t>鈴村</t>
    <rPh sb="0" eb="1">
      <t>スズ</t>
    </rPh>
    <rPh sb="1" eb="2">
      <t>ムラ</t>
    </rPh>
    <phoneticPr fontId="2"/>
  </si>
  <si>
    <t>月12日間勤務 9:00~15:00</t>
    <rPh sb="0" eb="1">
      <t>ツキ</t>
    </rPh>
    <rPh sb="3" eb="4">
      <t>ニチ</t>
    </rPh>
    <rPh sb="4" eb="5">
      <t>カン</t>
    </rPh>
    <rPh sb="5" eb="7">
      <t>キンム</t>
    </rPh>
    <phoneticPr fontId="2"/>
  </si>
  <si>
    <t>　　　　　　　　　　2026年10月≪休日10日≫　休日シフト表</t>
    <rPh sb="17" eb="18">
      <t>ガツ</t>
    </rPh>
    <rPh sb="19" eb="21">
      <t>キュウジツ</t>
    </rPh>
    <rPh sb="23" eb="24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</si>
</sst>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aaa"/>
    <numFmt numFmtId="177" formatCode="m&quot;月&quot;"/>
    <numFmt numFmtId="178" formatCode="d&quot;&quot;"/>
    <numFmt numFmtId="179" formatCode="0;\-0;;@"/>
  </numFmts>
  <fonts count="3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UD デジタル 教科書体 N-B"/>
      <family val="1"/>
      <charset val="128"/>
    </font>
    <font>
      <sz val="16"/>
      <color theme="1"/>
      <name val="游ゴシック"/>
      <family val="2"/>
      <charset val="128"/>
      <scheme val="minor"/>
    </font>
    <font>
      <sz val="11"/>
      <name val="UD デジタル 教科書体 N-B"/>
      <family val="1"/>
      <charset val="128"/>
    </font>
    <font>
      <b/>
      <sz val="11"/>
      <color theme="1"/>
      <name val="UD デジタル 教科書体 N-B"/>
      <family val="1"/>
      <charset val="128"/>
    </font>
    <font>
      <sz val="11"/>
      <color rgb="FFFF6600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0"/>
      <color theme="1"/>
      <name val="UD デジタル 教科書体 N-B"/>
      <family val="1"/>
      <charset val="128"/>
    </font>
    <font>
      <sz val="11"/>
      <color rgb="FF0099FF"/>
      <name val="UD デジタル 教科書体 N-B"/>
      <family val="1"/>
      <charset val="128"/>
    </font>
    <font>
      <sz val="10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rgb="FFFF6699"/>
      <name val="游ゴシック"/>
      <family val="3"/>
      <charset val="128"/>
      <scheme val="minor"/>
    </font>
    <font>
      <sz val="9"/>
      <color rgb="FFFF660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9"/>
      <color theme="1"/>
      <name val="UD デジタル 教科書体 N-B"/>
      <family val="1"/>
      <charset val="128"/>
    </font>
    <font>
      <b/>
      <sz val="11"/>
      <color theme="1"/>
      <name val="游ゴシック"/>
      <family val="3"/>
      <charset val="128"/>
      <scheme val="minor"/>
    </font>
    <font>
      <sz val="1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0"/>
      <name val="UD デジタル 教科書体 N-B"/>
      <family val="1"/>
      <charset val="128"/>
    </font>
    <font>
      <sz val="11"/>
      <color theme="8"/>
      <name val="UD デジタル 教科書体 N-B"/>
      <family val="1"/>
      <charset val="128"/>
    </font>
    <font>
      <sz val="11"/>
      <color theme="9"/>
      <name val="UD デジタル 教科書体 N-B"/>
      <family val="1"/>
      <charset val="128"/>
    </font>
    <font>
      <u/>
      <sz val="16"/>
      <color theme="1"/>
      <name val="游ゴシック"/>
      <family val="2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6"/>
      <color theme="4"/>
      <name val="UD デジタル 教科書体 N-B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9" fontId="1" fillId="0" borderId="18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9" fontId="1" fillId="0" borderId="29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178" fontId="0" fillId="0" borderId="8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20" fontId="4" fillId="0" borderId="21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3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3" fillId="3" borderId="36" xfId="0" applyFont="1" applyFill="1" applyBorder="1" applyAlignment="1">
      <alignment vertical="center" wrapText="1"/>
    </xf>
    <xf numFmtId="0" fontId="0" fillId="0" borderId="37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1" fillId="0" borderId="38" xfId="0" applyFont="1" applyBorder="1">
      <alignment vertical="center"/>
    </xf>
    <xf numFmtId="0" fontId="15" fillId="0" borderId="0" xfId="0" applyFont="1">
      <alignment vertical="center"/>
    </xf>
    <xf numFmtId="0" fontId="3" fillId="0" borderId="9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4" fillId="2" borderId="2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4" borderId="36" xfId="0" applyFont="1" applyFill="1" applyBorder="1">
      <alignment vertical="center"/>
    </xf>
    <xf numFmtId="178" fontId="23" fillId="0" borderId="26" xfId="0" applyNumberFormat="1" applyFont="1" applyBorder="1" applyAlignment="1">
      <alignment horizontal="center" vertical="center"/>
    </xf>
    <xf numFmtId="176" fontId="23" fillId="0" borderId="24" xfId="0" applyNumberFormat="1" applyFont="1" applyBorder="1" applyAlignment="1">
      <alignment horizontal="center" vertical="center"/>
    </xf>
    <xf numFmtId="176" fontId="23" fillId="0" borderId="7" xfId="0" applyNumberFormat="1" applyFont="1" applyBorder="1" applyAlignment="1">
      <alignment horizontal="center" vertical="center"/>
    </xf>
    <xf numFmtId="176" fontId="23" fillId="0" borderId="23" xfId="0" applyNumberFormat="1" applyFont="1" applyBorder="1" applyAlignment="1">
      <alignment horizontal="center" vertical="center"/>
    </xf>
    <xf numFmtId="0" fontId="3" fillId="0" borderId="39" xfId="0" applyFont="1" applyBorder="1">
      <alignment vertical="center"/>
    </xf>
    <xf numFmtId="178" fontId="23" fillId="0" borderId="27" xfId="0" applyNumberFormat="1" applyFont="1" applyBorder="1" applyAlignment="1">
      <alignment horizontal="center" vertical="center"/>
    </xf>
    <xf numFmtId="176" fontId="23" fillId="0" borderId="25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7" fillId="0" borderId="38" xfId="0" applyFont="1" applyBorder="1">
      <alignment vertical="center"/>
    </xf>
    <xf numFmtId="0" fontId="27" fillId="0" borderId="18" xfId="0" applyFont="1" applyBorder="1" applyAlignment="1">
      <alignment horizontal="center" vertical="center"/>
    </xf>
    <xf numFmtId="178" fontId="27" fillId="0" borderId="8" xfId="0" applyNumberFormat="1" applyFont="1" applyBorder="1" applyAlignment="1">
      <alignment horizontal="center" vertical="center"/>
    </xf>
    <xf numFmtId="176" fontId="27" fillId="0" borderId="25" xfId="0" applyNumberFormat="1" applyFont="1" applyBorder="1" applyAlignment="1">
      <alignment horizontal="center" vertical="center"/>
    </xf>
    <xf numFmtId="179" fontId="27" fillId="0" borderId="18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1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7" xfId="0" applyFont="1" applyBorder="1">
      <alignment vertical="center"/>
    </xf>
    <xf numFmtId="0" fontId="18" fillId="0" borderId="0" xfId="0" applyFont="1" applyAlignment="1">
      <alignment vertical="center" textRotation="255"/>
    </xf>
    <xf numFmtId="0" fontId="18" fillId="0" borderId="17" xfId="0" applyFont="1" applyBorder="1" applyAlignment="1">
      <alignment vertical="center" textRotation="255"/>
    </xf>
    <xf numFmtId="0" fontId="30" fillId="0" borderId="2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78" fontId="23" fillId="0" borderId="42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8" fontId="1" fillId="0" borderId="45" xfId="0" applyNumberFormat="1" applyFont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9" fontId="1" fillId="0" borderId="43" xfId="0" applyNumberFormat="1" applyFont="1" applyBorder="1" applyAlignment="1">
      <alignment horizontal="center" vertical="center"/>
    </xf>
    <xf numFmtId="178" fontId="1" fillId="0" borderId="46" xfId="0" applyNumberFormat="1" applyFont="1" applyBorder="1" applyAlignment="1">
      <alignment horizontal="center" vertical="center"/>
    </xf>
    <xf numFmtId="176" fontId="1" fillId="0" borderId="47" xfId="0" applyNumberFormat="1" applyFont="1" applyBorder="1" applyAlignment="1">
      <alignment horizontal="center" vertical="center"/>
    </xf>
    <xf numFmtId="179" fontId="1" fillId="0" borderId="48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78" fontId="0" fillId="0" borderId="45" xfId="0" applyNumberFormat="1" applyBorder="1" applyAlignment="1">
      <alignment horizontal="center" vertical="center"/>
    </xf>
    <xf numFmtId="178" fontId="0" fillId="0" borderId="50" xfId="0" applyNumberFormat="1" applyBorder="1" applyAlignment="1">
      <alignment horizontal="center" vertical="center"/>
    </xf>
    <xf numFmtId="176" fontId="0" fillId="0" borderId="47" xfId="0" applyNumberFormat="1" applyBorder="1" applyAlignment="1">
      <alignment horizontal="center" vertical="center"/>
    </xf>
    <xf numFmtId="179" fontId="1" fillId="0" borderId="4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179" fontId="1" fillId="0" borderId="51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8" fillId="2" borderId="0" xfId="0" applyFont="1" applyFill="1">
      <alignment vertical="center"/>
    </xf>
    <xf numFmtId="0" fontId="28" fillId="2" borderId="17" xfId="0" applyFont="1" applyFill="1" applyBorder="1">
      <alignment vertical="center"/>
    </xf>
    <xf numFmtId="0" fontId="1" fillId="0" borderId="40" xfId="0" applyFont="1" applyBorder="1">
      <alignment vertical="center"/>
    </xf>
    <xf numFmtId="0" fontId="1" fillId="0" borderId="35" xfId="0" applyFont="1" applyBorder="1">
      <alignment vertical="center"/>
    </xf>
    <xf numFmtId="0" fontId="30" fillId="0" borderId="3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52" xfId="0" applyFont="1" applyBorder="1">
      <alignment vertical="center"/>
    </xf>
    <xf numFmtId="0" fontId="31" fillId="0" borderId="16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textRotation="255"/>
    </xf>
    <xf numFmtId="0" fontId="13" fillId="0" borderId="17" xfId="0" applyFont="1" applyBorder="1" applyAlignment="1">
      <alignment horizontal="center" vertical="center" textRotation="255"/>
    </xf>
    <xf numFmtId="0" fontId="9" fillId="0" borderId="0" xfId="0" applyFont="1" applyAlignment="1">
      <alignment horizontal="center" vertical="center" textRotation="255"/>
    </xf>
    <xf numFmtId="0" fontId="9" fillId="0" borderId="17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 textRotation="255"/>
    </xf>
    <xf numFmtId="0" fontId="13" fillId="2" borderId="17" xfId="0" applyFont="1" applyFill="1" applyBorder="1" applyAlignment="1">
      <alignment horizontal="center" vertical="center" textRotation="255"/>
    </xf>
    <xf numFmtId="0" fontId="5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3" fillId="2" borderId="0" xfId="0" applyFont="1" applyFill="1" applyAlignment="1">
      <alignment horizontal="center" vertical="center" textRotation="255"/>
    </xf>
    <xf numFmtId="0" fontId="33" fillId="2" borderId="17" xfId="0" applyFont="1" applyFill="1" applyBorder="1" applyAlignment="1">
      <alignment horizontal="center" vertical="center" textRotation="255"/>
    </xf>
    <xf numFmtId="0" fontId="9" fillId="4" borderId="3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5" borderId="3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</cellXfs>
  <cellStyles count="1">
    <cellStyle name="標準" xfId="0" builtinId="0"/>
  </cellStyles>
  <dxfs count="31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10582</xdr:colOff>
      <xdr:row>0</xdr:row>
      <xdr:rowOff>21167</xdr:rowOff>
    </xdr:from>
    <xdr:to>
      <xdr:col>5</xdr:col>
      <xdr:colOff>63499</xdr:colOff>
      <xdr:row>0</xdr:row>
      <xdr:rowOff>273326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B0E8302-DBF0-4FBA-9513-3F518187687D}"/>
            </a:ext>
          </a:extLst>
        </xdr:cNvPr>
        <xdr:cNvSpPr txBox="1"/>
      </xdr:nvSpPr>
      <xdr:spPr>
        <a:xfrm>
          <a:off x="1248832" y="21167"/>
          <a:ext cx="700617" cy="252159"/>
        </a:xfrm>
        <a:prstGeom prst="rect">
          <a:avLst/>
        </a:prstGeom>
        <a:solidFill>
          <a:srgbClr val="0070C0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  <a:latin typeface="+mn-ea"/>
              <a:ea typeface="+mn-ea"/>
            </a:rPr>
            <a:t>業務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4AEF-AEC4-4C0B-A5AC-6CB3C12B9BE0}">
  <sheetPr>
    <pageSetUpPr fitToPage="1"/>
  </sheetPr>
  <dimension ref="A1:AR34"/>
  <sheetViews>
    <sheetView showZeros="0" tabSelected="1" zoomScale="85" zoomScaleNormal="85" zoomScaleSheetLayoutView="80" zoomScalePageLayoutView="85" workbookViewId="0">
      <selection activeCell="AI7" sqref="AI7"/>
    </sheetView>
  </sheetViews>
  <sheetFormatPr defaultColWidth="8.09765625" defaultRowHeight="18" x14ac:dyDescent="0.45"/>
  <cols>
    <col min="1" max="2" width="3.19921875" style="1" customWidth="1"/>
    <col min="3" max="3" width="9.69921875" style="1" customWidth="1"/>
    <col min="4" max="7" width="4.19921875" style="1" customWidth="1"/>
    <col min="8" max="8" width="4.19921875" style="69" customWidth="1"/>
    <col min="9" max="11" width="4.19921875" style="1" customWidth="1"/>
    <col min="12" max="12" width="4.59765625" style="1" customWidth="1"/>
    <col min="13" max="15" width="4.19921875" style="1" customWidth="1"/>
    <col min="16" max="16" width="3.69921875" style="1" bestFit="1" customWidth="1"/>
    <col min="17" max="17" width="4.19921875" style="1" customWidth="1"/>
    <col min="18" max="18" width="4.5" style="1" customWidth="1"/>
    <col min="19" max="29" width="4.19921875" style="1" customWidth="1"/>
    <col min="30" max="30" width="4" style="1" customWidth="1"/>
    <col min="31" max="33" width="4.19921875" style="1" customWidth="1"/>
    <col min="34" max="34" width="3.69921875" style="1" bestFit="1" customWidth="1"/>
    <col min="35" max="35" width="9.69921875" style="1" customWidth="1"/>
    <col min="36" max="36" width="4.19921875" style="1" customWidth="1"/>
    <col min="37" max="37" width="4.3984375" style="1" customWidth="1"/>
    <col min="38" max="38" width="10" style="1" customWidth="1"/>
    <col min="39" max="39" width="31.19921875" style="1" customWidth="1"/>
    <col min="40" max="16384" width="8.09765625" style="1"/>
  </cols>
  <sheetData>
    <row r="1" spans="1:44" ht="22.5" customHeight="1" x14ac:dyDescent="0.45">
      <c r="C1" s="124" t="s">
        <v>20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</row>
    <row r="2" spans="1:44" ht="22.5" customHeight="1" x14ac:dyDescent="0.45">
      <c r="C2" s="122"/>
      <c r="D2" s="125"/>
      <c r="E2" s="122"/>
      <c r="F2" s="122"/>
      <c r="G2" s="127"/>
      <c r="H2" s="129"/>
      <c r="I2" s="131"/>
      <c r="J2" s="122"/>
      <c r="K2" s="122"/>
      <c r="L2" s="133"/>
      <c r="M2" s="122"/>
      <c r="N2" s="122"/>
      <c r="O2" s="73"/>
      <c r="P2" s="119"/>
      <c r="Q2" s="71"/>
      <c r="R2" s="111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35"/>
      <c r="AE2" s="137"/>
      <c r="AF2" s="122"/>
      <c r="AG2" s="122"/>
      <c r="AH2" s="47"/>
      <c r="AI2" s="47"/>
    </row>
    <row r="3" spans="1:44" ht="22.5" customHeight="1" x14ac:dyDescent="0.45">
      <c r="B3" s="49"/>
      <c r="C3" s="122"/>
      <c r="D3" s="125"/>
      <c r="E3" s="122"/>
      <c r="F3" s="122"/>
      <c r="G3" s="127"/>
      <c r="H3" s="129"/>
      <c r="I3" s="131"/>
      <c r="J3" s="122"/>
      <c r="K3" s="122"/>
      <c r="L3" s="133"/>
      <c r="M3" s="122"/>
      <c r="N3" s="122"/>
      <c r="O3" s="73"/>
      <c r="P3" s="119"/>
      <c r="Q3" s="71"/>
      <c r="R3" s="111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35"/>
      <c r="AE3" s="137"/>
      <c r="AF3" s="122"/>
      <c r="AG3" s="122"/>
      <c r="AH3" s="47"/>
      <c r="AI3" s="47"/>
    </row>
    <row r="4" spans="1:44" ht="27.6" customHeight="1" thickBot="1" x14ac:dyDescent="0.5">
      <c r="B4" s="49"/>
      <c r="C4" s="123"/>
      <c r="D4" s="126"/>
      <c r="E4" s="123"/>
      <c r="F4" s="123"/>
      <c r="G4" s="128"/>
      <c r="H4" s="130"/>
      <c r="I4" s="132"/>
      <c r="J4" s="123"/>
      <c r="K4" s="123"/>
      <c r="L4" s="134"/>
      <c r="M4" s="123"/>
      <c r="N4" s="123"/>
      <c r="O4" s="74"/>
      <c r="P4" s="120"/>
      <c r="Q4" s="72"/>
      <c r="R4" s="112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36"/>
      <c r="AE4" s="138"/>
      <c r="AF4" s="123"/>
      <c r="AG4" s="123"/>
      <c r="AH4" s="48"/>
      <c r="AI4" s="47"/>
    </row>
    <row r="5" spans="1:44" ht="19.5" customHeight="1" thickBot="1" x14ac:dyDescent="0.5">
      <c r="C5" s="46" t="s">
        <v>4</v>
      </c>
      <c r="D5" s="113">
        <f t="shared" ref="D5:AH5" si="0">COUNTIFS(D10:D18,"休")</f>
        <v>0</v>
      </c>
      <c r="E5" s="44">
        <f t="shared" si="0"/>
        <v>0</v>
      </c>
      <c r="F5" s="44">
        <f t="shared" si="0"/>
        <v>0</v>
      </c>
      <c r="G5" s="44">
        <f t="shared" si="0"/>
        <v>0</v>
      </c>
      <c r="H5" s="64">
        <f t="shared" si="0"/>
        <v>0</v>
      </c>
      <c r="I5" s="44">
        <f t="shared" si="0"/>
        <v>0</v>
      </c>
      <c r="J5" s="44">
        <f t="shared" si="0"/>
        <v>0</v>
      </c>
      <c r="K5" s="117">
        <f t="shared" si="0"/>
        <v>0</v>
      </c>
      <c r="L5" s="44">
        <f t="shared" si="0"/>
        <v>0</v>
      </c>
      <c r="M5" s="44">
        <f t="shared" si="0"/>
        <v>0</v>
      </c>
      <c r="N5" s="44">
        <f t="shared" si="0"/>
        <v>0</v>
      </c>
      <c r="O5" s="44">
        <f t="shared" si="0"/>
        <v>0</v>
      </c>
      <c r="P5" s="44">
        <f t="shared" si="0"/>
        <v>0</v>
      </c>
      <c r="Q5" s="44">
        <f t="shared" si="0"/>
        <v>0</v>
      </c>
      <c r="R5" s="117">
        <f t="shared" si="0"/>
        <v>0</v>
      </c>
      <c r="S5" s="44">
        <f t="shared" si="0"/>
        <v>0</v>
      </c>
      <c r="T5" s="44">
        <f t="shared" si="0"/>
        <v>0</v>
      </c>
      <c r="U5" s="44">
        <f t="shared" si="0"/>
        <v>0</v>
      </c>
      <c r="V5" s="44">
        <f t="shared" si="0"/>
        <v>0</v>
      </c>
      <c r="W5" s="44">
        <f t="shared" si="0"/>
        <v>0</v>
      </c>
      <c r="X5" s="44">
        <f t="shared" si="0"/>
        <v>0</v>
      </c>
      <c r="Y5" s="117">
        <f t="shared" si="0"/>
        <v>0</v>
      </c>
      <c r="Z5" s="44">
        <f t="shared" si="0"/>
        <v>0</v>
      </c>
      <c r="AA5" s="44">
        <f t="shared" si="0"/>
        <v>0</v>
      </c>
      <c r="AB5" s="44">
        <f t="shared" si="0"/>
        <v>0</v>
      </c>
      <c r="AC5" s="44">
        <f>COUNTIFS(AC10:AC18,"休")</f>
        <v>0</v>
      </c>
      <c r="AD5" s="44">
        <f t="shared" si="0"/>
        <v>0</v>
      </c>
      <c r="AE5" s="44">
        <f t="shared" si="0"/>
        <v>0</v>
      </c>
      <c r="AF5" s="117">
        <f t="shared" si="0"/>
        <v>0</v>
      </c>
      <c r="AG5" s="44">
        <f t="shared" si="0"/>
        <v>0</v>
      </c>
      <c r="AH5" s="44">
        <f t="shared" si="0"/>
        <v>0</v>
      </c>
      <c r="AI5" s="57"/>
      <c r="AM5" s="45"/>
    </row>
    <row r="6" spans="1:44" ht="19.5" customHeight="1" thickBot="1" x14ac:dyDescent="0.5">
      <c r="C6" s="43" t="s">
        <v>3</v>
      </c>
      <c r="D6" s="114">
        <f t="shared" ref="D6:AH6" si="1">COUNTIFS(D10:D18,"休")+COUNTIFS(D10:D18,"有")+COUNTIFS(D10:D18,"健")</f>
        <v>0</v>
      </c>
      <c r="E6" s="44">
        <f t="shared" si="1"/>
        <v>0</v>
      </c>
      <c r="F6" s="44">
        <f t="shared" si="1"/>
        <v>0</v>
      </c>
      <c r="G6" s="44">
        <f t="shared" si="1"/>
        <v>0</v>
      </c>
      <c r="H6" s="64">
        <f t="shared" si="1"/>
        <v>0</v>
      </c>
      <c r="I6" s="44">
        <f t="shared" si="1"/>
        <v>0</v>
      </c>
      <c r="J6" s="44">
        <f t="shared" si="1"/>
        <v>0</v>
      </c>
      <c r="K6" s="44">
        <f t="shared" si="1"/>
        <v>0</v>
      </c>
      <c r="L6" s="44">
        <f t="shared" si="1"/>
        <v>0</v>
      </c>
      <c r="M6" s="44">
        <f t="shared" si="1"/>
        <v>0</v>
      </c>
      <c r="N6" s="44">
        <f t="shared" si="1"/>
        <v>0</v>
      </c>
      <c r="O6" s="44">
        <f t="shared" si="1"/>
        <v>0</v>
      </c>
      <c r="P6" s="44">
        <f t="shared" si="1"/>
        <v>0</v>
      </c>
      <c r="Q6" s="44">
        <f t="shared" si="1"/>
        <v>0</v>
      </c>
      <c r="R6" s="44">
        <f t="shared" si="1"/>
        <v>0</v>
      </c>
      <c r="S6" s="44">
        <f t="shared" si="1"/>
        <v>0</v>
      </c>
      <c r="T6" s="44">
        <f t="shared" si="1"/>
        <v>0</v>
      </c>
      <c r="U6" s="44">
        <f t="shared" si="1"/>
        <v>0</v>
      </c>
      <c r="V6" s="44">
        <f t="shared" si="1"/>
        <v>0</v>
      </c>
      <c r="W6" s="44">
        <f t="shared" si="1"/>
        <v>0</v>
      </c>
      <c r="X6" s="44">
        <f t="shared" si="1"/>
        <v>0</v>
      </c>
      <c r="Y6" s="44">
        <f t="shared" si="1"/>
        <v>0</v>
      </c>
      <c r="Z6" s="44">
        <f t="shared" si="1"/>
        <v>0</v>
      </c>
      <c r="AA6" s="44">
        <f t="shared" si="1"/>
        <v>0</v>
      </c>
      <c r="AB6" s="44">
        <f t="shared" si="1"/>
        <v>0</v>
      </c>
      <c r="AC6" s="44">
        <f>COUNTIFS(AC10:AC18,"休")+COUNTIFS(AC10:AC18,"有")+COUNTIFS(AC10:AC18,"健")</f>
        <v>0</v>
      </c>
      <c r="AD6" s="44">
        <f t="shared" si="1"/>
        <v>0</v>
      </c>
      <c r="AE6" s="44">
        <f t="shared" si="1"/>
        <v>0</v>
      </c>
      <c r="AF6" s="44">
        <f t="shared" si="1"/>
        <v>0</v>
      </c>
      <c r="AG6" s="44">
        <f t="shared" si="1"/>
        <v>0</v>
      </c>
      <c r="AH6" s="44">
        <f t="shared" si="1"/>
        <v>0</v>
      </c>
      <c r="AI6" s="43"/>
    </row>
    <row r="7" spans="1:44" ht="14.25" customHeight="1" x14ac:dyDescent="0.45">
      <c r="C7" s="13">
        <v>46296</v>
      </c>
      <c r="D7" s="58">
        <v>1</v>
      </c>
      <c r="E7" s="86">
        <f t="shared" ref="E7:T8" si="2">D7+1</f>
        <v>2</v>
      </c>
      <c r="F7" s="53">
        <f t="shared" si="2"/>
        <v>3</v>
      </c>
      <c r="G7" s="53">
        <f t="shared" si="2"/>
        <v>4</v>
      </c>
      <c r="H7" s="53">
        <f t="shared" si="2"/>
        <v>5</v>
      </c>
      <c r="I7" s="53">
        <f t="shared" si="2"/>
        <v>6</v>
      </c>
      <c r="J7" s="53">
        <f t="shared" si="2"/>
        <v>7</v>
      </c>
      <c r="K7" s="53">
        <f t="shared" si="2"/>
        <v>8</v>
      </c>
      <c r="L7" s="86">
        <f t="shared" si="2"/>
        <v>9</v>
      </c>
      <c r="M7" s="53">
        <f t="shared" si="2"/>
        <v>10</v>
      </c>
      <c r="N7" s="53">
        <f t="shared" si="2"/>
        <v>11</v>
      </c>
      <c r="O7" s="53">
        <f t="shared" si="2"/>
        <v>12</v>
      </c>
      <c r="P7" s="53">
        <f t="shared" si="2"/>
        <v>13</v>
      </c>
      <c r="Q7" s="53">
        <f t="shared" si="2"/>
        <v>14</v>
      </c>
      <c r="R7" s="53">
        <f t="shared" si="2"/>
        <v>15</v>
      </c>
      <c r="S7" s="86">
        <f t="shared" si="2"/>
        <v>16</v>
      </c>
      <c r="T7" s="53">
        <f t="shared" si="2"/>
        <v>17</v>
      </c>
      <c r="U7" s="53">
        <f t="shared" ref="U7:AH8" si="3">T7+1</f>
        <v>18</v>
      </c>
      <c r="V7" s="53">
        <f t="shared" si="3"/>
        <v>19</v>
      </c>
      <c r="W7" s="53">
        <f t="shared" si="3"/>
        <v>20</v>
      </c>
      <c r="X7" s="53">
        <f t="shared" si="3"/>
        <v>21</v>
      </c>
      <c r="Y7" s="53">
        <f t="shared" si="3"/>
        <v>22</v>
      </c>
      <c r="Z7" s="86">
        <f t="shared" si="3"/>
        <v>23</v>
      </c>
      <c r="AA7" s="53">
        <f t="shared" si="3"/>
        <v>24</v>
      </c>
      <c r="AB7" s="53">
        <f t="shared" si="3"/>
        <v>25</v>
      </c>
      <c r="AC7" s="53">
        <f t="shared" si="3"/>
        <v>26</v>
      </c>
      <c r="AD7" s="53">
        <f t="shared" si="3"/>
        <v>27</v>
      </c>
      <c r="AE7" s="53">
        <f t="shared" si="3"/>
        <v>28</v>
      </c>
      <c r="AF7" s="53">
        <f t="shared" si="3"/>
        <v>29</v>
      </c>
      <c r="AG7" s="86">
        <f t="shared" si="3"/>
        <v>30</v>
      </c>
      <c r="AH7" s="53">
        <f t="shared" si="3"/>
        <v>31</v>
      </c>
      <c r="AI7" s="13"/>
    </row>
    <row r="8" spans="1:44" customFormat="1" ht="14.1" customHeight="1" x14ac:dyDescent="0.45">
      <c r="C8" s="51" t="s">
        <v>0</v>
      </c>
      <c r="D8" s="59">
        <f>C7</f>
        <v>46296</v>
      </c>
      <c r="E8" s="54">
        <f t="shared" si="2"/>
        <v>46297</v>
      </c>
      <c r="F8" s="54">
        <f t="shared" si="2"/>
        <v>46298</v>
      </c>
      <c r="G8" s="56">
        <f t="shared" si="2"/>
        <v>46299</v>
      </c>
      <c r="H8" s="54">
        <f t="shared" si="2"/>
        <v>46300</v>
      </c>
      <c r="I8" s="54">
        <f t="shared" si="2"/>
        <v>46301</v>
      </c>
      <c r="J8" s="54">
        <f t="shared" si="2"/>
        <v>46302</v>
      </c>
      <c r="K8" s="54">
        <f t="shared" si="2"/>
        <v>46303</v>
      </c>
      <c r="L8" s="54">
        <f t="shared" si="2"/>
        <v>46304</v>
      </c>
      <c r="M8" s="54">
        <f t="shared" si="2"/>
        <v>46305</v>
      </c>
      <c r="N8" s="54">
        <f t="shared" si="2"/>
        <v>46306</v>
      </c>
      <c r="O8" s="54">
        <f t="shared" si="2"/>
        <v>46307</v>
      </c>
      <c r="P8" s="54">
        <f t="shared" si="2"/>
        <v>46308</v>
      </c>
      <c r="Q8" s="54">
        <f t="shared" si="2"/>
        <v>46309</v>
      </c>
      <c r="R8" s="54">
        <f t="shared" si="2"/>
        <v>46310</v>
      </c>
      <c r="S8" s="54">
        <f t="shared" si="2"/>
        <v>46311</v>
      </c>
      <c r="T8" s="54">
        <f t="shared" si="2"/>
        <v>46312</v>
      </c>
      <c r="U8" s="54">
        <f t="shared" si="3"/>
        <v>46313</v>
      </c>
      <c r="V8" s="54">
        <f t="shared" si="3"/>
        <v>46314</v>
      </c>
      <c r="W8" s="54">
        <f t="shared" si="3"/>
        <v>46315</v>
      </c>
      <c r="X8" s="54">
        <f t="shared" si="3"/>
        <v>46316</v>
      </c>
      <c r="Y8" s="54">
        <f t="shared" si="3"/>
        <v>46317</v>
      </c>
      <c r="Z8" s="54">
        <f t="shared" si="3"/>
        <v>46318</v>
      </c>
      <c r="AA8" s="54">
        <f t="shared" si="3"/>
        <v>46319</v>
      </c>
      <c r="AB8" s="54">
        <f t="shared" si="3"/>
        <v>46320</v>
      </c>
      <c r="AC8" s="54">
        <f t="shared" si="3"/>
        <v>46321</v>
      </c>
      <c r="AD8" s="55">
        <f t="shared" si="3"/>
        <v>46322</v>
      </c>
      <c r="AE8" s="56">
        <f t="shared" si="3"/>
        <v>46323</v>
      </c>
      <c r="AF8" s="56">
        <f t="shared" si="3"/>
        <v>46324</v>
      </c>
      <c r="AG8" s="54">
        <f t="shared" si="3"/>
        <v>46325</v>
      </c>
      <c r="AH8" s="56">
        <f t="shared" si="3"/>
        <v>46326</v>
      </c>
      <c r="AI8" s="51" t="s">
        <v>0</v>
      </c>
    </row>
    <row r="9" spans="1:44" ht="18.600000000000001" thickBot="1" x14ac:dyDescent="0.5">
      <c r="C9" s="3" t="s">
        <v>1</v>
      </c>
      <c r="D9" s="19"/>
      <c r="E9" s="87"/>
      <c r="F9" s="41"/>
      <c r="G9" s="42"/>
      <c r="H9" s="65"/>
      <c r="I9" s="40"/>
      <c r="J9" s="40"/>
      <c r="K9" s="41"/>
      <c r="L9" s="87"/>
      <c r="M9" s="41"/>
      <c r="N9" s="41"/>
      <c r="O9" s="40"/>
      <c r="P9" s="40"/>
      <c r="Q9" s="41"/>
      <c r="R9" s="41"/>
      <c r="S9" s="87"/>
      <c r="T9" s="40"/>
      <c r="U9" s="40"/>
      <c r="V9" s="40"/>
      <c r="W9" s="41"/>
      <c r="X9" s="41"/>
      <c r="Y9" s="41"/>
      <c r="Z9" s="103"/>
      <c r="AA9" s="40"/>
      <c r="AB9" s="40"/>
      <c r="AC9" s="41"/>
      <c r="AD9" s="41"/>
      <c r="AE9" s="41"/>
      <c r="AF9" s="40"/>
      <c r="AG9" s="104"/>
      <c r="AH9" s="39"/>
      <c r="AI9" s="3" t="s">
        <v>1</v>
      </c>
      <c r="AJ9" s="38" t="s">
        <v>2</v>
      </c>
      <c r="AK9" s="38"/>
    </row>
    <row r="10" spans="1:44" ht="21.75" customHeight="1" x14ac:dyDescent="0.45">
      <c r="A10" s="1">
        <v>1</v>
      </c>
      <c r="B10" s="139"/>
      <c r="C10" s="9" t="s">
        <v>5</v>
      </c>
      <c r="D10" s="29"/>
      <c r="E10" s="77"/>
      <c r="F10" s="11"/>
      <c r="G10" s="70"/>
      <c r="H10" s="70"/>
      <c r="I10" s="11"/>
      <c r="J10" s="11"/>
      <c r="K10" s="11"/>
      <c r="L10" s="96"/>
      <c r="M10" s="11"/>
      <c r="N10" s="11"/>
      <c r="O10" s="11"/>
      <c r="P10" s="11"/>
      <c r="Q10" s="11"/>
      <c r="R10" s="11"/>
      <c r="S10" s="96"/>
      <c r="T10" s="70"/>
      <c r="U10" s="70"/>
      <c r="V10" s="108"/>
      <c r="W10" s="11"/>
      <c r="X10" s="11"/>
      <c r="Y10" s="11"/>
      <c r="Z10" s="77"/>
      <c r="AA10" s="37"/>
      <c r="AB10" s="11"/>
      <c r="AC10" s="81"/>
      <c r="AD10" s="11"/>
      <c r="AE10" s="11"/>
      <c r="AF10" s="11"/>
      <c r="AG10" s="77"/>
      <c r="AH10" s="60"/>
      <c r="AI10" s="9" t="s">
        <v>5</v>
      </c>
      <c r="AJ10" s="2">
        <f t="shared" ref="AJ10:AJ18" si="4">COUNTIFS(D10:AH10,"休")+COUNTIFS(D10:AH10,"健")</f>
        <v>0</v>
      </c>
      <c r="AK10" s="2"/>
      <c r="AL10" s="30" t="s">
        <v>9</v>
      </c>
      <c r="AM10" s="30"/>
    </row>
    <row r="11" spans="1:44" ht="21.75" customHeight="1" thickBot="1" x14ac:dyDescent="0.5">
      <c r="A11" s="1">
        <v>2</v>
      </c>
      <c r="B11" s="139"/>
      <c r="C11" s="8" t="s">
        <v>6</v>
      </c>
      <c r="D11" s="7"/>
      <c r="E11" s="88"/>
      <c r="F11" s="6"/>
      <c r="G11" s="6"/>
      <c r="H11" s="11"/>
      <c r="I11" s="79"/>
      <c r="J11" s="6"/>
      <c r="K11" s="6"/>
      <c r="L11" s="88"/>
      <c r="M11" s="6"/>
      <c r="N11" s="6"/>
      <c r="O11" s="79"/>
      <c r="P11" s="6"/>
      <c r="Q11" s="6"/>
      <c r="R11" s="6"/>
      <c r="S11" s="88"/>
      <c r="T11" s="6"/>
      <c r="U11" s="6"/>
      <c r="V11" s="79"/>
      <c r="W11" s="6"/>
      <c r="X11" s="6"/>
      <c r="Y11" s="6"/>
      <c r="Z11" s="88"/>
      <c r="AA11" s="6"/>
      <c r="AB11" s="6"/>
      <c r="AC11" s="81"/>
      <c r="AD11" s="70"/>
      <c r="AE11" s="11"/>
      <c r="AF11" s="11"/>
      <c r="AG11" s="88"/>
      <c r="AH11" s="61"/>
      <c r="AI11" s="8" t="s">
        <v>6</v>
      </c>
      <c r="AJ11" s="2">
        <f t="shared" si="4"/>
        <v>0</v>
      </c>
      <c r="AK11" s="2"/>
      <c r="AL11" s="30" t="s">
        <v>9</v>
      </c>
      <c r="AM11" s="30"/>
    </row>
    <row r="12" spans="1:44" ht="21.75" customHeight="1" x14ac:dyDescent="0.45">
      <c r="A12" s="1">
        <v>3</v>
      </c>
      <c r="B12" s="52"/>
      <c r="C12" s="36" t="s">
        <v>11</v>
      </c>
      <c r="D12" s="29"/>
      <c r="E12" s="89"/>
      <c r="F12" s="75"/>
      <c r="G12" s="18"/>
      <c r="H12" s="18"/>
      <c r="I12" s="18"/>
      <c r="J12" s="18"/>
      <c r="K12" s="118"/>
      <c r="L12" s="97"/>
      <c r="M12" s="15"/>
      <c r="N12" s="15"/>
      <c r="O12" s="15"/>
      <c r="P12" s="15"/>
      <c r="Q12" s="15"/>
      <c r="R12" s="15"/>
      <c r="S12" s="97"/>
      <c r="T12" s="18"/>
      <c r="U12" s="15"/>
      <c r="V12" s="15"/>
      <c r="W12" s="15"/>
      <c r="X12" s="18"/>
      <c r="Y12" s="15"/>
      <c r="Z12" s="89"/>
      <c r="AA12" s="15"/>
      <c r="AB12" s="18"/>
      <c r="AC12" s="82"/>
      <c r="AD12" s="18"/>
      <c r="AE12" s="18"/>
      <c r="AF12" s="18"/>
      <c r="AG12" s="109"/>
      <c r="AH12" s="62"/>
      <c r="AI12" s="36" t="s">
        <v>11</v>
      </c>
      <c r="AJ12" s="2">
        <f t="shared" si="4"/>
        <v>0</v>
      </c>
      <c r="AK12" s="2"/>
      <c r="AL12" s="30" t="s">
        <v>12</v>
      </c>
    </row>
    <row r="13" spans="1:44" ht="21.75" customHeight="1" x14ac:dyDescent="0.45">
      <c r="A13" s="1">
        <v>4</v>
      </c>
      <c r="B13" s="52"/>
      <c r="C13" s="24" t="s">
        <v>13</v>
      </c>
      <c r="D13" s="29"/>
      <c r="E13" s="89"/>
      <c r="F13" s="15"/>
      <c r="G13" s="15"/>
      <c r="H13" s="11"/>
      <c r="I13" s="81"/>
      <c r="J13" s="15"/>
      <c r="K13" s="15"/>
      <c r="L13" s="110"/>
      <c r="M13" s="50"/>
      <c r="N13" s="60"/>
      <c r="O13" s="75"/>
      <c r="P13" s="15"/>
      <c r="Q13" s="121"/>
      <c r="R13" s="15"/>
      <c r="S13" s="89"/>
      <c r="T13" s="15"/>
      <c r="U13" s="15"/>
      <c r="V13" s="15"/>
      <c r="W13" s="15"/>
      <c r="X13" s="15"/>
      <c r="Y13" s="15"/>
      <c r="Z13" s="77"/>
      <c r="AA13" s="81"/>
      <c r="AB13" s="11"/>
      <c r="AC13" s="15"/>
      <c r="AD13" s="80"/>
      <c r="AE13" s="15"/>
      <c r="AF13" s="15"/>
      <c r="AG13" s="89"/>
      <c r="AH13" s="60"/>
      <c r="AI13" s="24" t="s">
        <v>13</v>
      </c>
      <c r="AJ13" s="2">
        <f t="shared" si="4"/>
        <v>0</v>
      </c>
      <c r="AK13" s="2"/>
      <c r="AL13" s="30" t="s">
        <v>14</v>
      </c>
    </row>
    <row r="14" spans="1:44" ht="21.75" customHeight="1" thickBot="1" x14ac:dyDescent="0.5">
      <c r="A14" s="1">
        <v>5</v>
      </c>
      <c r="B14" s="52"/>
      <c r="C14" s="8"/>
      <c r="D14" s="7"/>
      <c r="E14" s="88"/>
      <c r="F14" s="6"/>
      <c r="G14" s="6"/>
      <c r="H14" s="6"/>
      <c r="I14" s="6"/>
      <c r="J14" s="6"/>
      <c r="K14" s="6"/>
      <c r="L14" s="88"/>
      <c r="M14" s="6"/>
      <c r="N14" s="6"/>
      <c r="O14" s="6"/>
      <c r="P14" s="6"/>
      <c r="Q14" s="6"/>
      <c r="R14" s="6"/>
      <c r="S14" s="88"/>
      <c r="T14" s="6"/>
      <c r="U14" s="6"/>
      <c r="V14" s="6"/>
      <c r="W14" s="6"/>
      <c r="X14" s="6"/>
      <c r="Y14" s="6"/>
      <c r="Z14" s="88"/>
      <c r="AA14" s="6"/>
      <c r="AB14" s="6"/>
      <c r="AC14" s="6"/>
      <c r="AD14" s="6"/>
      <c r="AE14" s="6"/>
      <c r="AF14" s="6"/>
      <c r="AG14" s="105"/>
      <c r="AH14" s="63"/>
      <c r="AI14" s="8"/>
      <c r="AJ14" s="2">
        <f t="shared" si="4"/>
        <v>0</v>
      </c>
      <c r="AK14" s="2"/>
      <c r="AR14" s="1" t="s">
        <v>7</v>
      </c>
    </row>
    <row r="15" spans="1:44" ht="21.75" customHeight="1" x14ac:dyDescent="0.45">
      <c r="A15" s="1">
        <v>6</v>
      </c>
      <c r="B15" s="35"/>
      <c r="C15" s="36" t="s">
        <v>8</v>
      </c>
      <c r="D15" s="115"/>
      <c r="E15" s="89"/>
      <c r="F15" s="15"/>
      <c r="G15" s="15"/>
      <c r="H15" s="15"/>
      <c r="I15" s="15"/>
      <c r="J15" s="15"/>
      <c r="K15" s="15"/>
      <c r="L15" s="89"/>
      <c r="M15" s="15"/>
      <c r="N15" s="15"/>
      <c r="O15" s="75"/>
      <c r="P15" s="15"/>
      <c r="Q15" s="15"/>
      <c r="R15" s="15"/>
      <c r="S15" s="89"/>
      <c r="T15" s="15"/>
      <c r="U15" s="75"/>
      <c r="V15" s="15"/>
      <c r="W15" s="75"/>
      <c r="X15" s="15"/>
      <c r="Y15" s="15"/>
      <c r="Z15" s="89"/>
      <c r="AA15" s="15"/>
      <c r="AB15" s="15"/>
      <c r="AC15" s="15"/>
      <c r="AD15" s="15"/>
      <c r="AE15" s="15"/>
      <c r="AF15" s="15"/>
      <c r="AG15" s="89"/>
      <c r="AH15" s="84"/>
      <c r="AI15" s="85" t="s">
        <v>8</v>
      </c>
      <c r="AJ15" s="2">
        <f t="shared" si="4"/>
        <v>0</v>
      </c>
      <c r="AK15" s="2"/>
      <c r="AL15" s="30" t="s">
        <v>19</v>
      </c>
    </row>
    <row r="16" spans="1:44" ht="21.75" customHeight="1" x14ac:dyDescent="0.45">
      <c r="A16" s="1">
        <v>7</v>
      </c>
      <c r="B16" s="35"/>
      <c r="C16" s="10" t="s">
        <v>10</v>
      </c>
      <c r="D16" s="29"/>
      <c r="E16" s="89"/>
      <c r="F16" s="70"/>
      <c r="G16" s="70"/>
      <c r="H16" s="70"/>
      <c r="I16" s="11"/>
      <c r="J16" s="15"/>
      <c r="K16" s="15"/>
      <c r="L16" s="96"/>
      <c r="M16" s="75"/>
      <c r="N16" s="75"/>
      <c r="O16" s="75"/>
      <c r="P16" s="15"/>
      <c r="Q16" s="15"/>
      <c r="R16" s="11"/>
      <c r="S16" s="89"/>
      <c r="T16" s="15"/>
      <c r="U16" s="11"/>
      <c r="V16" s="15"/>
      <c r="W16" s="15"/>
      <c r="X16" s="15"/>
      <c r="Y16" s="15"/>
      <c r="Z16" s="89"/>
      <c r="AA16" s="11"/>
      <c r="AB16" s="11"/>
      <c r="AC16" s="15"/>
      <c r="AD16" s="15"/>
      <c r="AE16" s="15"/>
      <c r="AF16" s="15"/>
      <c r="AG16" s="77"/>
      <c r="AH16" s="75"/>
      <c r="AI16" s="10" t="s">
        <v>10</v>
      </c>
      <c r="AJ16" s="2">
        <f t="shared" si="4"/>
        <v>0</v>
      </c>
      <c r="AK16" s="2"/>
      <c r="AL16" s="140" t="s">
        <v>17</v>
      </c>
      <c r="AM16" s="140"/>
    </row>
    <row r="17" spans="1:39" ht="21.75" customHeight="1" x14ac:dyDescent="0.45">
      <c r="A17" s="1">
        <v>8</v>
      </c>
      <c r="B17" s="35"/>
      <c r="C17" s="9" t="s">
        <v>15</v>
      </c>
      <c r="D17" s="29"/>
      <c r="E17" s="89"/>
      <c r="F17" s="15"/>
      <c r="G17" s="11"/>
      <c r="H17" s="11"/>
      <c r="I17" s="15"/>
      <c r="J17" s="15"/>
      <c r="K17" s="15"/>
      <c r="L17" s="89"/>
      <c r="M17" s="15"/>
      <c r="N17" s="75"/>
      <c r="O17" s="15"/>
      <c r="P17" s="75"/>
      <c r="Q17" s="75"/>
      <c r="R17" s="15"/>
      <c r="S17" s="89"/>
      <c r="T17" s="15"/>
      <c r="U17" s="15"/>
      <c r="V17" s="11"/>
      <c r="W17" s="11"/>
      <c r="X17" s="15"/>
      <c r="Y17" s="15"/>
      <c r="Z17" s="89"/>
      <c r="AA17" s="15"/>
      <c r="AB17" s="15"/>
      <c r="AC17" s="11"/>
      <c r="AD17" s="15"/>
      <c r="AE17" s="15"/>
      <c r="AF17" s="15"/>
      <c r="AG17" s="89"/>
      <c r="AH17" s="32"/>
      <c r="AI17" s="9" t="s">
        <v>18</v>
      </c>
      <c r="AJ17" s="2">
        <f t="shared" si="4"/>
        <v>0</v>
      </c>
      <c r="AK17" s="2"/>
      <c r="AL17" s="83" t="s">
        <v>16</v>
      </c>
      <c r="AM17" s="83"/>
    </row>
    <row r="18" spans="1:39" ht="21.75" customHeight="1" x14ac:dyDescent="0.45">
      <c r="B18" s="141"/>
      <c r="C18" s="10"/>
      <c r="D18" s="29"/>
      <c r="E18" s="89"/>
      <c r="F18" s="15"/>
      <c r="G18" s="15"/>
      <c r="H18" s="15"/>
      <c r="I18" s="15"/>
      <c r="J18" s="11"/>
      <c r="K18" s="15"/>
      <c r="L18" s="89"/>
      <c r="M18" s="11"/>
      <c r="N18" s="11"/>
      <c r="O18" s="15"/>
      <c r="P18" s="15"/>
      <c r="Q18" s="15"/>
      <c r="R18" s="15"/>
      <c r="S18" s="102"/>
      <c r="T18" s="11"/>
      <c r="U18" s="76"/>
      <c r="V18" s="34"/>
      <c r="W18" s="34"/>
      <c r="X18" s="15"/>
      <c r="Y18" s="34"/>
      <c r="Z18" s="89"/>
      <c r="AA18" s="15"/>
      <c r="AB18" s="15"/>
      <c r="AC18" s="34"/>
      <c r="AD18" s="11"/>
      <c r="AE18" s="15"/>
      <c r="AF18" s="15"/>
      <c r="AG18" s="77"/>
      <c r="AH18" s="60"/>
      <c r="AI18" s="10"/>
      <c r="AJ18" s="2">
        <f t="shared" si="4"/>
        <v>0</v>
      </c>
      <c r="AK18" s="2"/>
      <c r="AL18" s="30"/>
    </row>
    <row r="19" spans="1:39" ht="21.75" customHeight="1" x14ac:dyDescent="0.45">
      <c r="A19"/>
      <c r="B19" s="141"/>
      <c r="C19" s="24"/>
      <c r="D19" s="29"/>
      <c r="E19" s="77"/>
      <c r="F19" s="11"/>
      <c r="G19" s="11"/>
      <c r="H19" s="11"/>
      <c r="I19" s="11"/>
      <c r="J19" s="28"/>
      <c r="K19" s="28"/>
      <c r="L19" s="77"/>
      <c r="M19" s="11"/>
      <c r="N19" s="15"/>
      <c r="O19" s="11"/>
      <c r="P19" s="11"/>
      <c r="Q19" s="11"/>
      <c r="R19" s="28"/>
      <c r="S19" s="89"/>
      <c r="T19" s="11"/>
      <c r="U19" s="11"/>
      <c r="V19" s="11"/>
      <c r="W19" s="28"/>
      <c r="X19" s="28"/>
      <c r="Y19" s="11"/>
      <c r="Z19" s="77"/>
      <c r="AA19" s="28"/>
      <c r="AB19" s="11"/>
      <c r="AC19" s="11"/>
      <c r="AD19" s="15"/>
      <c r="AE19" s="28"/>
      <c r="AF19" s="11"/>
      <c r="AG19" s="89"/>
      <c r="AH19" s="27"/>
      <c r="AI19" s="10"/>
    </row>
    <row r="20" spans="1:39" ht="21.75" customHeight="1" x14ac:dyDescent="0.45">
      <c r="A20"/>
      <c r="B20" s="141"/>
      <c r="C20" s="9"/>
      <c r="D20" s="116"/>
      <c r="E20" s="77"/>
      <c r="F20" s="11"/>
      <c r="G20" s="11"/>
      <c r="H20" s="11"/>
      <c r="I20" s="11"/>
      <c r="J20" s="11"/>
      <c r="K20" s="11"/>
      <c r="L20" s="77"/>
      <c r="M20" s="11"/>
      <c r="N20" s="33"/>
      <c r="O20" s="11"/>
      <c r="P20" s="11"/>
      <c r="Q20" s="11"/>
      <c r="R20" s="11"/>
      <c r="S20" s="77"/>
      <c r="T20" s="11"/>
      <c r="U20" s="11"/>
      <c r="V20" s="11"/>
      <c r="W20" s="11"/>
      <c r="X20" s="11"/>
      <c r="Y20" s="11"/>
      <c r="Z20" s="77"/>
      <c r="AA20" s="11"/>
      <c r="AB20" s="11"/>
      <c r="AC20" s="11"/>
      <c r="AD20" s="33"/>
      <c r="AE20" s="11"/>
      <c r="AF20" s="11"/>
      <c r="AG20" s="77"/>
      <c r="AH20" s="27"/>
      <c r="AI20" s="9"/>
    </row>
    <row r="21" spans="1:39" ht="21.75" customHeight="1" thickBot="1" x14ac:dyDescent="0.5">
      <c r="A21"/>
      <c r="B21" s="141"/>
      <c r="C21" s="8"/>
      <c r="D21" s="31"/>
      <c r="E21" s="88"/>
      <c r="F21" s="26"/>
      <c r="G21" s="6"/>
      <c r="H21" s="78"/>
      <c r="I21" s="6"/>
      <c r="J21" s="6"/>
      <c r="K21" s="6"/>
      <c r="L21" s="88"/>
      <c r="M21" s="6"/>
      <c r="N21" s="78"/>
      <c r="O21" s="6"/>
      <c r="P21" s="6"/>
      <c r="Q21" s="6"/>
      <c r="R21" s="6"/>
      <c r="S21" s="88"/>
      <c r="T21" s="6"/>
      <c r="U21" s="6"/>
      <c r="V21" s="6"/>
      <c r="W21" s="6"/>
      <c r="X21" s="6"/>
      <c r="Y21" s="6"/>
      <c r="Z21" s="88"/>
      <c r="AA21" s="6"/>
      <c r="AB21" s="6"/>
      <c r="AC21" s="6"/>
      <c r="AD21" s="78"/>
      <c r="AE21" s="6"/>
      <c r="AF21" s="6"/>
      <c r="AG21" s="88"/>
      <c r="AH21" s="25"/>
      <c r="AI21" s="8"/>
    </row>
    <row r="22" spans="1:39" ht="12.75" customHeight="1" x14ac:dyDescent="0.45">
      <c r="B22" s="22"/>
      <c r="C22" s="13">
        <f>C7</f>
        <v>46296</v>
      </c>
      <c r="D22" s="93">
        <v>1</v>
      </c>
      <c r="E22" s="90">
        <v>2</v>
      </c>
      <c r="F22" s="23">
        <v>3</v>
      </c>
      <c r="G22" s="23">
        <v>4</v>
      </c>
      <c r="H22" s="66">
        <v>5</v>
      </c>
      <c r="I22" s="23">
        <v>6</v>
      </c>
      <c r="J22" s="23">
        <v>7</v>
      </c>
      <c r="K22" s="99">
        <v>8</v>
      </c>
      <c r="L22" s="98">
        <v>9</v>
      </c>
      <c r="M22" s="23">
        <v>10</v>
      </c>
      <c r="N22" s="23">
        <v>11</v>
      </c>
      <c r="O22" s="23">
        <v>12</v>
      </c>
      <c r="P22" s="23">
        <v>13</v>
      </c>
      <c r="Q22" s="23">
        <v>14</v>
      </c>
      <c r="R22" s="99">
        <v>15</v>
      </c>
      <c r="S22" s="98">
        <v>16</v>
      </c>
      <c r="T22" s="23">
        <v>17</v>
      </c>
      <c r="U22" s="23">
        <v>18</v>
      </c>
      <c r="V22" s="23">
        <v>19</v>
      </c>
      <c r="W22" s="23">
        <v>20</v>
      </c>
      <c r="X22" s="23">
        <v>21</v>
      </c>
      <c r="Y22" s="99">
        <v>22</v>
      </c>
      <c r="Z22" s="98">
        <v>23</v>
      </c>
      <c r="AA22" s="23">
        <v>24</v>
      </c>
      <c r="AB22" s="23">
        <v>25</v>
      </c>
      <c r="AC22" s="23">
        <v>26</v>
      </c>
      <c r="AD22" s="23">
        <v>27</v>
      </c>
      <c r="AE22" s="23">
        <v>28</v>
      </c>
      <c r="AF22" s="99">
        <v>29</v>
      </c>
      <c r="AG22" s="90">
        <v>30</v>
      </c>
      <c r="AH22" s="5">
        <f>AH7</f>
        <v>31</v>
      </c>
      <c r="AI22" s="4">
        <f>AI7</f>
        <v>0</v>
      </c>
      <c r="AJ22" s="1">
        <f>COUNTIFS(D22:AH22,"休")+COUNTIFS(D22:AH22,"健")</f>
        <v>0</v>
      </c>
    </row>
    <row r="23" spans="1:39" ht="11.25" customHeight="1" x14ac:dyDescent="0.45">
      <c r="B23" s="22"/>
      <c r="C23" s="12" t="s">
        <v>0</v>
      </c>
      <c r="D23" s="94">
        <f>C7</f>
        <v>46296</v>
      </c>
      <c r="E23" s="91">
        <f t="shared" ref="E23:J23" si="5">D23+1</f>
        <v>46297</v>
      </c>
      <c r="F23" s="17">
        <f t="shared" si="5"/>
        <v>46298</v>
      </c>
      <c r="G23" s="17">
        <f t="shared" si="5"/>
        <v>46299</v>
      </c>
      <c r="H23" s="67">
        <f t="shared" si="5"/>
        <v>46300</v>
      </c>
      <c r="I23" s="17">
        <f>H23+1</f>
        <v>46301</v>
      </c>
      <c r="J23" s="17">
        <f t="shared" si="5"/>
        <v>46302</v>
      </c>
      <c r="K23" s="100">
        <f>J23+1</f>
        <v>46303</v>
      </c>
      <c r="L23" s="16">
        <f t="shared" ref="L23:Q23" si="6">K23+1</f>
        <v>46304</v>
      </c>
      <c r="M23" s="17">
        <f t="shared" si="6"/>
        <v>46305</v>
      </c>
      <c r="N23" s="17">
        <f t="shared" si="6"/>
        <v>46306</v>
      </c>
      <c r="O23" s="17">
        <f t="shared" si="6"/>
        <v>46307</v>
      </c>
      <c r="P23" s="17">
        <f t="shared" si="6"/>
        <v>46308</v>
      </c>
      <c r="Q23" s="17">
        <f t="shared" si="6"/>
        <v>46309</v>
      </c>
      <c r="R23" s="100">
        <f>Q23+1</f>
        <v>46310</v>
      </c>
      <c r="S23" s="16">
        <f t="shared" ref="S23:X23" si="7">R23+1</f>
        <v>46311</v>
      </c>
      <c r="T23" s="17">
        <f t="shared" si="7"/>
        <v>46312</v>
      </c>
      <c r="U23" s="17">
        <f t="shared" si="7"/>
        <v>46313</v>
      </c>
      <c r="V23" s="17">
        <f t="shared" si="7"/>
        <v>46314</v>
      </c>
      <c r="W23" s="17">
        <f t="shared" si="7"/>
        <v>46315</v>
      </c>
      <c r="X23" s="17">
        <f t="shared" si="7"/>
        <v>46316</v>
      </c>
      <c r="Y23" s="100">
        <f>X23+1</f>
        <v>46317</v>
      </c>
      <c r="Z23" s="16">
        <f t="shared" ref="Z23:AE23" si="8">Y23+1</f>
        <v>46318</v>
      </c>
      <c r="AA23" s="17">
        <f t="shared" si="8"/>
        <v>46319</v>
      </c>
      <c r="AB23" s="17">
        <f t="shared" si="8"/>
        <v>46320</v>
      </c>
      <c r="AC23" s="17">
        <f t="shared" si="8"/>
        <v>46321</v>
      </c>
      <c r="AD23" s="17">
        <f t="shared" si="8"/>
        <v>46322</v>
      </c>
      <c r="AE23" s="17">
        <f t="shared" si="8"/>
        <v>46323</v>
      </c>
      <c r="AF23" s="100">
        <f>AE23+1</f>
        <v>46324</v>
      </c>
      <c r="AG23" s="91">
        <f>AF23+1</f>
        <v>46325</v>
      </c>
      <c r="AH23" s="21">
        <f>AH8</f>
        <v>46326</v>
      </c>
      <c r="AI23" s="12" t="s">
        <v>0</v>
      </c>
      <c r="AJ23" s="1">
        <f>COUNTIFS(D23:AH23,"休")+COUNTIFS(D23:AH23,"健")</f>
        <v>0</v>
      </c>
    </row>
    <row r="24" spans="1:39" ht="12.75" customHeight="1" thickBot="1" x14ac:dyDescent="0.5">
      <c r="C24" s="3" t="s">
        <v>1</v>
      </c>
      <c r="D24" s="95"/>
      <c r="E24" s="92"/>
      <c r="F24" s="14"/>
      <c r="G24" s="14"/>
      <c r="H24" s="68"/>
      <c r="I24" s="14"/>
      <c r="J24" s="14"/>
      <c r="K24" s="101"/>
      <c r="L24" s="92"/>
      <c r="M24" s="14"/>
      <c r="N24" s="14"/>
      <c r="O24" s="14"/>
      <c r="P24" s="14"/>
      <c r="Q24" s="14"/>
      <c r="R24" s="101"/>
      <c r="S24" s="92"/>
      <c r="T24" s="14"/>
      <c r="U24" s="14"/>
      <c r="V24" s="14"/>
      <c r="W24" s="14"/>
      <c r="X24" s="14"/>
      <c r="Y24" s="101"/>
      <c r="Z24" s="92"/>
      <c r="AA24" s="14"/>
      <c r="AB24" s="14"/>
      <c r="AC24" s="14"/>
      <c r="AD24" s="14"/>
      <c r="AE24" s="14"/>
      <c r="AF24" s="101"/>
      <c r="AG24" s="106"/>
      <c r="AH24" s="20">
        <f>AH9</f>
        <v>0</v>
      </c>
      <c r="AI24" s="3" t="s">
        <v>1</v>
      </c>
      <c r="AJ24" s="1">
        <f>COUNTIFS(D24:AH24,"休")+COUNTIFS(D24:AH24,"健")</f>
        <v>0</v>
      </c>
    </row>
    <row r="25" spans="1:39" ht="17.25" customHeight="1" x14ac:dyDescent="0.45">
      <c r="C25" s="142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M25" t="s">
        <v>7</v>
      </c>
    </row>
    <row r="26" spans="1:39" x14ac:dyDescent="0.45">
      <c r="C26" s="144"/>
      <c r="D26" s="144"/>
      <c r="E26" s="144"/>
    </row>
    <row r="27" spans="1:39" x14ac:dyDescent="0.45">
      <c r="C27" s="38"/>
      <c r="D27"/>
    </row>
    <row r="28" spans="1:39" x14ac:dyDescent="0.45">
      <c r="C28" s="2"/>
      <c r="W28" s="107"/>
    </row>
    <row r="29" spans="1:39" x14ac:dyDescent="0.45">
      <c r="C29" s="2"/>
    </row>
    <row r="30" spans="1:39" x14ac:dyDescent="0.45">
      <c r="C30" s="2"/>
    </row>
    <row r="31" spans="1:39" x14ac:dyDescent="0.45">
      <c r="C31" s="2"/>
    </row>
    <row r="32" spans="1:39" x14ac:dyDescent="0.45">
      <c r="C32" s="2"/>
    </row>
    <row r="33" spans="3:3" x14ac:dyDescent="0.45">
      <c r="C33" s="2"/>
    </row>
    <row r="34" spans="3:3" x14ac:dyDescent="0.45">
      <c r="C34" s="2"/>
    </row>
  </sheetData>
  <mergeCells count="33">
    <mergeCell ref="B10:B11"/>
    <mergeCell ref="AL16:AM16"/>
    <mergeCell ref="B18:B21"/>
    <mergeCell ref="C25:AI25"/>
    <mergeCell ref="C26:E26"/>
    <mergeCell ref="AG2:AG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U2:U4"/>
    <mergeCell ref="C1:AH1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S2:S4"/>
    <mergeCell ref="T2:T4"/>
  </mergeCells>
  <phoneticPr fontId="2"/>
  <conditionalFormatting sqref="C7:AH9 C10:C16 C18:C25 O20 O21:P21 D22:AI24 V10">
    <cfRule type="expression" dxfId="316" priority="317">
      <formula>AND(C$9="前")</formula>
    </cfRule>
  </conditionalFormatting>
  <conditionalFormatting sqref="C7:AH9 C10:C16 C18:C25 O20 O21:P21 D22:AI24">
    <cfRule type="expression" dxfId="315" priority="316">
      <formula>AND(C$9="引")</formula>
    </cfRule>
  </conditionalFormatting>
  <conditionalFormatting sqref="D9:E9 AC9:AC11 AI7:AI14">
    <cfRule type="expression" dxfId="314" priority="314">
      <formula>AND(D$9="引")</formula>
    </cfRule>
  </conditionalFormatting>
  <conditionalFormatting sqref="D10:E10 Q12 D12:D21 M13:P13 AI18:AI21">
    <cfRule type="expression" dxfId="313" priority="53">
      <formula>AND(D$9="前")</formula>
    </cfRule>
  </conditionalFormatting>
  <conditionalFormatting sqref="D11:N11">
    <cfRule type="expression" dxfId="312" priority="59">
      <formula>AND(D$9="前")</formula>
    </cfRule>
    <cfRule type="expression" dxfId="311" priority="58">
      <formula>AND(D$9="引")</formula>
    </cfRule>
  </conditionalFormatting>
  <conditionalFormatting sqref="E17:E18">
    <cfRule type="expression" dxfId="310" priority="50">
      <formula>AND(E$9="前")</formula>
    </cfRule>
  </conditionalFormatting>
  <conditionalFormatting sqref="E9:G9">
    <cfRule type="expression" dxfId="309" priority="309">
      <formula>AND(E$9="前")</formula>
    </cfRule>
    <cfRule type="expression" dxfId="308" priority="260">
      <formula>AND(E$9="引")</formula>
    </cfRule>
    <cfRule type="expression" dxfId="307" priority="261">
      <formula>AND(E$9="前")</formula>
    </cfRule>
    <cfRule type="expression" dxfId="306" priority="308">
      <formula>AND(E$9="引")</formula>
    </cfRule>
  </conditionalFormatting>
  <conditionalFormatting sqref="E13:G16 H16:H17 F17:G17">
    <cfRule type="expression" dxfId="305" priority="21">
      <formula>AND(E$9="前")</formula>
    </cfRule>
  </conditionalFormatting>
  <conditionalFormatting sqref="E12:J12">
    <cfRule type="expression" dxfId="304" priority="51">
      <formula>AND(E$9="前")</formula>
    </cfRule>
  </conditionalFormatting>
  <conditionalFormatting sqref="E12:K18">
    <cfRule type="expression" dxfId="303" priority="14">
      <formula>AND(E$9="引")</formula>
    </cfRule>
  </conditionalFormatting>
  <conditionalFormatting sqref="E20:N21">
    <cfRule type="expression" dxfId="302" priority="57">
      <formula>AND(E$9="前")</formula>
    </cfRule>
    <cfRule type="expression" dxfId="301" priority="56">
      <formula>AND(E$9="引")</formula>
    </cfRule>
  </conditionalFormatting>
  <conditionalFormatting sqref="E19:O19">
    <cfRule type="expression" dxfId="300" priority="48">
      <formula>AND(E$9="引")</formula>
    </cfRule>
    <cfRule type="expression" dxfId="299" priority="49">
      <formula>AND(E$9="前")</formula>
    </cfRule>
  </conditionalFormatting>
  <conditionalFormatting sqref="F9:F10">
    <cfRule type="expression" dxfId="298" priority="38">
      <formula>AND(F$9="引")</formula>
    </cfRule>
    <cfRule type="expression" dxfId="297" priority="39">
      <formula>AND(F$9="前")</formula>
    </cfRule>
  </conditionalFormatting>
  <conditionalFormatting sqref="F18:J18">
    <cfRule type="expression" dxfId="296" priority="35">
      <formula>AND(F$9="前")</formula>
    </cfRule>
  </conditionalFormatting>
  <conditionalFormatting sqref="G9:I10">
    <cfRule type="expression" dxfId="295" priority="312">
      <formula>AND(G$9="引")</formula>
    </cfRule>
    <cfRule type="expression" dxfId="294" priority="313">
      <formula>AND(G$9="前")</formula>
    </cfRule>
  </conditionalFormatting>
  <conditionalFormatting sqref="H13:J17">
    <cfRule type="expression" dxfId="293" priority="19">
      <formula>AND(H$9="前")</formula>
    </cfRule>
  </conditionalFormatting>
  <conditionalFormatting sqref="J9">
    <cfRule type="expression" dxfId="292" priority="152">
      <formula>AND(J$9="引")</formula>
    </cfRule>
    <cfRule type="expression" dxfId="291" priority="153">
      <formula>AND(J$9="前")</formula>
    </cfRule>
  </conditionalFormatting>
  <conditionalFormatting sqref="J9:K9">
    <cfRule type="expression" dxfId="290" priority="149">
      <formula>AND(J$9="前")</formula>
    </cfRule>
    <cfRule type="expression" dxfId="289" priority="148">
      <formula>AND(J$9="引")</formula>
    </cfRule>
    <cfRule type="expression" dxfId="288" priority="310">
      <formula>AND(J$9="引")</formula>
    </cfRule>
    <cfRule type="expression" dxfId="287" priority="311">
      <formula>AND(J$9="前")</formula>
    </cfRule>
  </conditionalFormatting>
  <conditionalFormatting sqref="J10:N10">
    <cfRule type="expression" dxfId="286" priority="29">
      <formula>AND(J$9="前")</formula>
    </cfRule>
    <cfRule type="expression" dxfId="285" priority="28">
      <formula>AND(J$9="引")</formula>
    </cfRule>
  </conditionalFormatting>
  <conditionalFormatting sqref="J9:O9">
    <cfRule type="expression" dxfId="284" priority="150">
      <formula>AND(J$9="引")</formula>
    </cfRule>
    <cfRule type="expression" dxfId="283" priority="151">
      <formula>AND(J$9="前")</formula>
    </cfRule>
  </conditionalFormatting>
  <conditionalFormatting sqref="K9">
    <cfRule type="expression" dxfId="282" priority="74">
      <formula>AND(K$9="引")</formula>
    </cfRule>
    <cfRule type="expression" dxfId="281" priority="147">
      <formula>AND(K$9="前")</formula>
    </cfRule>
    <cfRule type="expression" dxfId="280" priority="75">
      <formula>AND(K$9="前")</formula>
    </cfRule>
    <cfRule type="expression" dxfId="279" priority="146">
      <formula>AND(K$9="引")</formula>
    </cfRule>
    <cfRule type="expression" dxfId="278" priority="257">
      <formula>AND(K$9="前")</formula>
    </cfRule>
    <cfRule type="expression" dxfId="277" priority="256">
      <formula>AND(K$9="引")</formula>
    </cfRule>
  </conditionalFormatting>
  <conditionalFormatting sqref="K12:K18">
    <cfRule type="expression" dxfId="276" priority="15">
      <formula>AND(K$9="前")</formula>
    </cfRule>
  </conditionalFormatting>
  <conditionalFormatting sqref="K9:L9">
    <cfRule type="expression" dxfId="275" priority="259">
      <formula>AND(K$9="前")</formula>
    </cfRule>
    <cfRule type="expression" dxfId="274" priority="255">
      <formula>AND(K$9="前")</formula>
    </cfRule>
    <cfRule type="expression" dxfId="273" priority="78">
      <formula>AND(K$9="引")</formula>
    </cfRule>
    <cfRule type="expression" dxfId="272" priority="79">
      <formula>AND(K$9="前")</formula>
    </cfRule>
    <cfRule type="expression" dxfId="271" priority="77">
      <formula>AND(K$9="前")</formula>
    </cfRule>
    <cfRule type="expression" dxfId="270" priority="76">
      <formula>AND(K$9="引")</formula>
    </cfRule>
    <cfRule type="expression" dxfId="269" priority="254">
      <formula>AND(K$9="引")</formula>
    </cfRule>
    <cfRule type="expression" dxfId="268" priority="253">
      <formula>AND(K$9="前")</formula>
    </cfRule>
    <cfRule type="expression" dxfId="267" priority="252">
      <formula>AND(K$9="引")</formula>
    </cfRule>
    <cfRule type="expression" dxfId="266" priority="258">
      <formula>AND(K$9="引")</formula>
    </cfRule>
  </conditionalFormatting>
  <conditionalFormatting sqref="K9:Q9">
    <cfRule type="expression" dxfId="265" priority="307">
      <formula>AND(K$9="前")</formula>
    </cfRule>
    <cfRule type="expression" dxfId="264" priority="306">
      <formula>AND(K$9="引")</formula>
    </cfRule>
  </conditionalFormatting>
  <conditionalFormatting sqref="L13:L16">
    <cfRule type="expression" dxfId="263" priority="4">
      <formula>AND(L$9="前")</formula>
    </cfRule>
    <cfRule type="expression" dxfId="262" priority="3">
      <formula>AND(L$9="引")</formula>
    </cfRule>
  </conditionalFormatting>
  <conditionalFormatting sqref="L17">
    <cfRule type="expression" dxfId="261" priority="30">
      <formula>AND(L$9="前")</formula>
    </cfRule>
  </conditionalFormatting>
  <conditionalFormatting sqref="L9:N9">
    <cfRule type="expression" dxfId="260" priority="213">
      <formula>AND(L$9="前")</formula>
    </cfRule>
    <cfRule type="expression" dxfId="259" priority="212">
      <formula>AND(L$9="引")</formula>
    </cfRule>
  </conditionalFormatting>
  <conditionalFormatting sqref="L12:N12">
    <cfRule type="expression" dxfId="258" priority="42">
      <formula>AND(L$9="引")</formula>
    </cfRule>
    <cfRule type="expression" dxfId="257" priority="43">
      <formula>AND(L$9="前")</formula>
    </cfRule>
  </conditionalFormatting>
  <conditionalFormatting sqref="L18:O18">
    <cfRule type="expression" dxfId="256" priority="24">
      <formula>AND(L$9="前")</formula>
    </cfRule>
    <cfRule type="expression" dxfId="255" priority="23">
      <formula>AND(L$9="引")</formula>
    </cfRule>
  </conditionalFormatting>
  <conditionalFormatting sqref="L9:Q9">
    <cfRule type="expression" dxfId="254" priority="274">
      <formula>AND(L$9="引")</formula>
    </cfRule>
    <cfRule type="expression" dxfId="253" priority="275">
      <formula>AND(L$9="前")</formula>
    </cfRule>
  </conditionalFormatting>
  <conditionalFormatting sqref="L9:S9">
    <cfRule type="expression" dxfId="252" priority="290">
      <formula>AND(L$9="引")</formula>
    </cfRule>
    <cfRule type="expression" dxfId="251" priority="291">
      <formula>AND(L$9="前")</formula>
    </cfRule>
  </conditionalFormatting>
  <conditionalFormatting sqref="M14:M17">
    <cfRule type="expression" dxfId="250" priority="32">
      <formula>AND(M$9="前")</formula>
    </cfRule>
  </conditionalFormatting>
  <conditionalFormatting sqref="M9:O9">
    <cfRule type="expression" dxfId="249" priority="203">
      <formula>AND(M$9="前")</formula>
    </cfRule>
    <cfRule type="expression" dxfId="248" priority="202">
      <formula>AND(M$9="引")</formula>
    </cfRule>
  </conditionalFormatting>
  <conditionalFormatting sqref="M14:U15 Z12 V13:AH15">
    <cfRule type="expression" dxfId="247" priority="8">
      <formula>AND(M$9="引")</formula>
    </cfRule>
  </conditionalFormatting>
  <conditionalFormatting sqref="M16:AI16 L17:AH17">
    <cfRule type="expression" dxfId="246" priority="12">
      <formula>AND(L$9="引")</formula>
    </cfRule>
  </conditionalFormatting>
  <conditionalFormatting sqref="N9:O9">
    <cfRule type="expression" dxfId="245" priority="241">
      <formula>AND(N$9="前")</formula>
    </cfRule>
    <cfRule type="expression" dxfId="244" priority="240">
      <formula>AND(N$9="引")</formula>
    </cfRule>
  </conditionalFormatting>
  <conditionalFormatting sqref="N15:O17">
    <cfRule type="expression" dxfId="243" priority="22">
      <formula>AND(N$9="前")</formula>
    </cfRule>
  </conditionalFormatting>
  <conditionalFormatting sqref="O9">
    <cfRule type="expression" dxfId="242" priority="199">
      <formula>AND(O$9="前")</formula>
    </cfRule>
    <cfRule type="expression" dxfId="241" priority="198">
      <formula>AND(O$9="引")</formula>
    </cfRule>
    <cfRule type="expression" dxfId="240" priority="194">
      <formula>AND(O$9="引")</formula>
    </cfRule>
    <cfRule type="expression" dxfId="239" priority="195">
      <formula>AND(O$9="前")</formula>
    </cfRule>
    <cfRule type="expression" dxfId="238" priority="197">
      <formula>AND(O$9="前")</formula>
    </cfRule>
    <cfRule type="expression" dxfId="237" priority="196">
      <formula>AND(O$9="引")</formula>
    </cfRule>
    <cfRule type="expression" dxfId="236" priority="201">
      <formula>AND(O$9="前")</formula>
    </cfRule>
    <cfRule type="expression" dxfId="235" priority="200">
      <formula>AND(O$9="引")</formula>
    </cfRule>
  </conditionalFormatting>
  <conditionalFormatting sqref="O9:P9">
    <cfRule type="expression" dxfId="234" priority="268">
      <formula>AND(O$9="引")</formula>
    </cfRule>
    <cfRule type="expression" dxfId="233" priority="269">
      <formula>AND(O$9="前")</formula>
    </cfRule>
  </conditionalFormatting>
  <conditionalFormatting sqref="O9:Q9">
    <cfRule type="expression" dxfId="232" priority="96">
      <formula>AND(O$9="引")</formula>
    </cfRule>
    <cfRule type="expression" dxfId="231" priority="97">
      <formula>AND(O$9="前")</formula>
    </cfRule>
  </conditionalFormatting>
  <conditionalFormatting sqref="O9:Q10">
    <cfRule type="expression" dxfId="230" priority="145">
      <formula>AND(O$9="前")</formula>
    </cfRule>
    <cfRule type="expression" dxfId="229" priority="144">
      <formula>AND(O$9="引")</formula>
    </cfRule>
  </conditionalFormatting>
  <conditionalFormatting sqref="P9">
    <cfRule type="expression" dxfId="228" priority="93">
      <formula>AND(P$9="前")</formula>
    </cfRule>
    <cfRule type="expression" dxfId="227" priority="92">
      <formula>AND(P$9="引")</formula>
    </cfRule>
    <cfRule type="expression" dxfId="226" priority="94">
      <formula>AND(P$9="引")</formula>
    </cfRule>
    <cfRule type="expression" dxfId="225" priority="95">
      <formula>AND(P$9="前")</formula>
    </cfRule>
  </conditionalFormatting>
  <conditionalFormatting sqref="P18:P20">
    <cfRule type="expression" dxfId="224" priority="37">
      <formula>AND(P$9="前")</formula>
    </cfRule>
    <cfRule type="expression" dxfId="223" priority="36">
      <formula>AND(P$9="引")</formula>
    </cfRule>
  </conditionalFormatting>
  <conditionalFormatting sqref="P9:Q9">
    <cfRule type="expression" dxfId="222" priority="130">
      <formula>AND(P$9="引")</formula>
    </cfRule>
    <cfRule type="expression" dxfId="221" priority="135">
      <formula>AND(P$9="前")</formula>
    </cfRule>
    <cfRule type="expression" dxfId="220" priority="134">
      <formula>AND(P$9="引")</formula>
    </cfRule>
    <cfRule type="expression" dxfId="219" priority="131">
      <formula>AND(P$9="前")</formula>
    </cfRule>
    <cfRule type="expression" dxfId="218" priority="132">
      <formula>AND(P$9="引")</formula>
    </cfRule>
    <cfRule type="expression" dxfId="217" priority="133">
      <formula>AND(P$9="前")</formula>
    </cfRule>
  </conditionalFormatting>
  <conditionalFormatting sqref="P9:R9">
    <cfRule type="expression" dxfId="216" priority="72">
      <formula>AND(P$9="引")</formula>
    </cfRule>
    <cfRule type="expression" dxfId="215" priority="73">
      <formula>AND(P$9="前")</formula>
    </cfRule>
  </conditionalFormatting>
  <conditionalFormatting sqref="P17:S17">
    <cfRule type="expression" dxfId="214" priority="16">
      <formula>AND(P$9="前")</formula>
    </cfRule>
  </conditionalFormatting>
  <conditionalFormatting sqref="Q9">
    <cfRule type="expression" dxfId="213" priority="288">
      <formula>AND(Q$9="引")</formula>
    </cfRule>
    <cfRule type="expression" dxfId="212" priority="280">
      <formula>AND(Q$9="引")</formula>
    </cfRule>
    <cfRule type="expression" dxfId="211" priority="281">
      <formula>AND(Q$9="前")</formula>
    </cfRule>
    <cfRule type="expression" dxfId="210" priority="68">
      <formula>AND(Q$9="引")</formula>
    </cfRule>
    <cfRule type="expression" dxfId="209" priority="69">
      <formula>AND(Q$9="前")</formula>
    </cfRule>
    <cfRule type="expression" dxfId="208" priority="138">
      <formula>AND(Q$9="引")</formula>
    </cfRule>
    <cfRule type="expression" dxfId="207" priority="141">
      <formula>AND(Q$9="前")</formula>
    </cfRule>
    <cfRule type="expression" dxfId="206" priority="140">
      <formula>AND(Q$9="引")</formula>
    </cfRule>
    <cfRule type="expression" dxfId="205" priority="139">
      <formula>AND(Q$9="前")</formula>
    </cfRule>
    <cfRule type="expression" dxfId="204" priority="142">
      <formula>AND(Q$9="引")</formula>
    </cfRule>
    <cfRule type="expression" dxfId="203" priority="137">
      <formula>AND(Q$9="前")</formula>
    </cfRule>
    <cfRule type="expression" dxfId="202" priority="136">
      <formula>AND(Q$9="引")</formula>
    </cfRule>
    <cfRule type="expression" dxfId="201" priority="289">
      <formula>AND(Q$9="前")</formula>
    </cfRule>
    <cfRule type="expression" dxfId="200" priority="143">
      <formula>AND(Q$9="前")</formula>
    </cfRule>
  </conditionalFormatting>
  <conditionalFormatting sqref="Q12 D10:E10 D12:D21 M13:P13">
    <cfRule type="expression" dxfId="199" priority="52">
      <formula>AND(D$9="引")</formula>
    </cfRule>
  </conditionalFormatting>
  <conditionalFormatting sqref="Q9:R9">
    <cfRule type="expression" dxfId="198" priority="70">
      <formula>AND(Q$9="引")</formula>
    </cfRule>
    <cfRule type="expression" dxfId="197" priority="71">
      <formula>AND(Q$9="前")</formula>
    </cfRule>
  </conditionalFormatting>
  <conditionalFormatting sqref="Q18:S18">
    <cfRule type="expression" dxfId="196" priority="45">
      <formula>AND(Q$9="前")</formula>
    </cfRule>
  </conditionalFormatting>
  <conditionalFormatting sqref="Q9:T9">
    <cfRule type="expression" dxfId="195" priority="211">
      <formula>AND(Q$9="前")</formula>
    </cfRule>
    <cfRule type="expression" dxfId="194" priority="210">
      <formula>AND(Q$9="引")</formula>
    </cfRule>
  </conditionalFormatting>
  <conditionalFormatting sqref="Q9:U9">
    <cfRule type="expression" dxfId="193" priority="159">
      <formula>AND(Q$9="前")</formula>
    </cfRule>
    <cfRule type="expression" dxfId="192" priority="158">
      <formula>AND(Q$9="引")</formula>
    </cfRule>
  </conditionalFormatting>
  <conditionalFormatting sqref="Q9:W9">
    <cfRule type="expression" dxfId="191" priority="304">
      <formula>AND(Q$9="引")</formula>
    </cfRule>
    <cfRule type="expression" dxfId="190" priority="305">
      <formula>AND(Q$9="前")</formula>
    </cfRule>
  </conditionalFormatting>
  <conditionalFormatting sqref="Q18:AB21">
    <cfRule type="expression" dxfId="189" priority="25">
      <formula>AND(Q$9="引")</formula>
    </cfRule>
  </conditionalFormatting>
  <conditionalFormatting sqref="Q19:AH21">
    <cfRule type="expression" dxfId="188" priority="18">
      <formula>AND(Q$9="前")</formula>
    </cfRule>
  </conditionalFormatting>
  <conditionalFormatting sqref="R10:U10">
    <cfRule type="expression" dxfId="187" priority="2">
      <formula>AND(R$9="前")</formula>
    </cfRule>
    <cfRule type="expression" dxfId="186" priority="1">
      <formula>AND(R$9="引")</formula>
    </cfRule>
  </conditionalFormatting>
  <conditionalFormatting sqref="R13:U13">
    <cfRule type="expression" dxfId="185" priority="33">
      <formula>AND(R$9="引")</formula>
    </cfRule>
    <cfRule type="expression" dxfId="184" priority="34">
      <formula>AND(R$9="前")</formula>
    </cfRule>
  </conditionalFormatting>
  <conditionalFormatting sqref="R9:AB9">
    <cfRule type="expression" dxfId="183" priority="299">
      <formula>AND(R$9="前")</formula>
    </cfRule>
    <cfRule type="expression" dxfId="182" priority="298">
      <formula>AND(R$9="引")</formula>
    </cfRule>
  </conditionalFormatting>
  <conditionalFormatting sqref="S15">
    <cfRule type="expression" dxfId="181" priority="7">
      <formula>AND(S$9="前")</formula>
    </cfRule>
  </conditionalFormatting>
  <conditionalFormatting sqref="S9:T9">
    <cfRule type="expression" dxfId="180" priority="234">
      <formula>AND(S$9="引")</formula>
    </cfRule>
    <cfRule type="expression" dxfId="179" priority="237">
      <formula>AND(S$9="前")</formula>
    </cfRule>
    <cfRule type="expression" dxfId="178" priority="235">
      <formula>AND(S$9="前")</formula>
    </cfRule>
    <cfRule type="expression" dxfId="177" priority="236">
      <formula>AND(S$9="引")</formula>
    </cfRule>
  </conditionalFormatting>
  <conditionalFormatting sqref="S9:U9">
    <cfRule type="expression" dxfId="176" priority="251">
      <formula>AND(S$9="前")</formula>
    </cfRule>
    <cfRule type="expression" dxfId="175" priority="250">
      <formula>AND(S$9="引")</formula>
    </cfRule>
  </conditionalFormatting>
  <conditionalFormatting sqref="S9:V9">
    <cfRule type="expression" dxfId="174" priority="238">
      <formula>AND(S$9="引")</formula>
    </cfRule>
    <cfRule type="expression" dxfId="173" priority="239">
      <formula>AND(S$9="前")</formula>
    </cfRule>
  </conditionalFormatting>
  <conditionalFormatting sqref="T9">
    <cfRule type="expression" dxfId="172" priority="232">
      <formula>AND(T$9="引")</formula>
    </cfRule>
    <cfRule type="expression" dxfId="171" priority="233">
      <formula>AND(T$9="前")</formula>
    </cfRule>
  </conditionalFormatting>
  <conditionalFormatting sqref="T17:T18">
    <cfRule type="expression" dxfId="170" priority="44">
      <formula>AND(T$9="前")</formula>
    </cfRule>
  </conditionalFormatting>
  <conditionalFormatting sqref="T9:Y9">
    <cfRule type="expression" dxfId="169" priority="192">
      <formula>AND(T$9="引")</formula>
    </cfRule>
    <cfRule type="expression" dxfId="168" priority="193">
      <formula>AND(T$9="前")</formula>
    </cfRule>
  </conditionalFormatting>
  <conditionalFormatting sqref="U9">
    <cfRule type="expression" dxfId="167" priority="187">
      <formula>AND(U$9="前")</formula>
    </cfRule>
    <cfRule type="expression" dxfId="166" priority="190">
      <formula>AND(U$9="引")</formula>
    </cfRule>
    <cfRule type="expression" dxfId="165" priority="189">
      <formula>AND(U$9="前")</formula>
    </cfRule>
    <cfRule type="expression" dxfId="164" priority="184">
      <formula>AND(U$9="引")</formula>
    </cfRule>
    <cfRule type="expression" dxfId="163" priority="191">
      <formula>AND(U$9="前")</formula>
    </cfRule>
    <cfRule type="expression" dxfId="162" priority="185">
      <formula>AND(U$9="前")</formula>
    </cfRule>
    <cfRule type="expression" dxfId="161" priority="186">
      <formula>AND(U$9="引")</formula>
    </cfRule>
    <cfRule type="expression" dxfId="160" priority="188">
      <formula>AND(U$9="引")</formula>
    </cfRule>
  </conditionalFormatting>
  <conditionalFormatting sqref="U16:U17">
    <cfRule type="expression" dxfId="159" priority="31">
      <formula>AND(U$9="前")</formula>
    </cfRule>
  </conditionalFormatting>
  <conditionalFormatting sqref="U9:V9">
    <cfRule type="expression" dxfId="158" priority="248">
      <formula>AND(U$9="引")</formula>
    </cfRule>
    <cfRule type="expression" dxfId="157" priority="273">
      <formula>AND(U$9="前")</formula>
    </cfRule>
    <cfRule type="expression" dxfId="156" priority="249">
      <formula>AND(U$9="前")</formula>
    </cfRule>
  </conditionalFormatting>
  <conditionalFormatting sqref="U9:W9">
    <cfRule type="expression" dxfId="155" priority="128">
      <formula>AND(U$9="引")</formula>
    </cfRule>
    <cfRule type="expression" dxfId="154" priority="91">
      <formula>AND(U$9="前")</formula>
    </cfRule>
    <cfRule type="expression" dxfId="153" priority="129">
      <formula>AND(U$9="前")</formula>
    </cfRule>
    <cfRule type="expression" dxfId="152" priority="90">
      <formula>AND(U$9="引")</formula>
    </cfRule>
  </conditionalFormatting>
  <conditionalFormatting sqref="U9:Y9">
    <cfRule type="expression" dxfId="151" priority="272">
      <formula>AND(U$9="引")</formula>
    </cfRule>
  </conditionalFormatting>
  <conditionalFormatting sqref="U18:Y18">
    <cfRule type="expression" dxfId="150" priority="27">
      <formula>AND(U$9="前")</formula>
    </cfRule>
  </conditionalFormatting>
  <conditionalFormatting sqref="V9">
    <cfRule type="expression" dxfId="149" priority="86">
      <formula>AND(V$9="引")</formula>
    </cfRule>
    <cfRule type="expression" dxfId="148" priority="89">
      <formula>AND(V$9="前")</formula>
    </cfRule>
    <cfRule type="expression" dxfId="147" priority="88">
      <formula>AND(V$9="引")</formula>
    </cfRule>
    <cfRule type="expression" dxfId="146" priority="87">
      <formula>AND(V$9="前")</formula>
    </cfRule>
  </conditionalFormatting>
  <conditionalFormatting sqref="V9:V10">
    <cfRule type="expression" dxfId="145" priority="278">
      <formula>AND(V$9="引")</formula>
    </cfRule>
  </conditionalFormatting>
  <conditionalFormatting sqref="V9:W9">
    <cfRule type="expression" dxfId="144" priority="296">
      <formula>AND(V$9="引")</formula>
    </cfRule>
    <cfRule type="expression" dxfId="143" priority="117">
      <formula>AND(V$9="前")</formula>
    </cfRule>
    <cfRule type="expression" dxfId="142" priority="118">
      <formula>AND(V$9="引")</formula>
    </cfRule>
    <cfRule type="expression" dxfId="141" priority="119">
      <formula>AND(V$9="前")</formula>
    </cfRule>
    <cfRule type="expression" dxfId="140" priority="115">
      <formula>AND(V$9="前")</formula>
    </cfRule>
    <cfRule type="expression" dxfId="139" priority="114">
      <formula>AND(V$9="引")</formula>
    </cfRule>
    <cfRule type="expression" dxfId="138" priority="116">
      <formula>AND(V$9="引")</formula>
    </cfRule>
    <cfRule type="expression" dxfId="137" priority="297">
      <formula>AND(V$9="前")</formula>
    </cfRule>
  </conditionalFormatting>
  <conditionalFormatting sqref="V9:X9">
    <cfRule type="expression" dxfId="136" priority="66">
      <formula>AND(V$9="引")</formula>
    </cfRule>
    <cfRule type="expression" dxfId="135" priority="67">
      <formula>AND(V$9="前")</formula>
    </cfRule>
  </conditionalFormatting>
  <conditionalFormatting sqref="V9:Y9">
    <cfRule type="expression" dxfId="134" priority="279">
      <formula>AND(V$9="前")</formula>
    </cfRule>
  </conditionalFormatting>
  <conditionalFormatting sqref="V13:Y17 P16:T16 AC16:AH17 N14:U14">
    <cfRule type="expression" dxfId="133" priority="13">
      <formula>AND(N$9="前")</formula>
    </cfRule>
  </conditionalFormatting>
  <conditionalFormatting sqref="W9">
    <cfRule type="expression" dxfId="132" priority="125">
      <formula>AND(W$9="前")</formula>
    </cfRule>
    <cfRule type="expression" dxfId="131" priority="127">
      <formula>AND(W$9="前")</formula>
    </cfRule>
    <cfRule type="expression" dxfId="130" priority="126">
      <formula>AND(W$9="引")</formula>
    </cfRule>
    <cfRule type="expression" dxfId="129" priority="120">
      <formula>AND(W$9="引")</formula>
    </cfRule>
    <cfRule type="expression" dxfId="128" priority="124">
      <formula>AND(W$9="引")</formula>
    </cfRule>
    <cfRule type="expression" dxfId="127" priority="123">
      <formula>AND(W$9="前")</formula>
    </cfRule>
    <cfRule type="expression" dxfId="126" priority="122">
      <formula>AND(W$9="引")</formula>
    </cfRule>
    <cfRule type="expression" dxfId="125" priority="121">
      <formula>AND(W$9="前")</formula>
    </cfRule>
  </conditionalFormatting>
  <conditionalFormatting sqref="W9:W10">
    <cfRule type="expression" dxfId="124" priority="40">
      <formula>AND(W$9="引")</formula>
    </cfRule>
    <cfRule type="expression" dxfId="123" priority="41">
      <formula>AND(W$9="前")</formula>
    </cfRule>
  </conditionalFormatting>
  <conditionalFormatting sqref="W28">
    <cfRule type="expression" dxfId="122" priority="5">
      <formula>AND(W$9="引")</formula>
    </cfRule>
    <cfRule type="expression" dxfId="121" priority="6">
      <formula>AND(W$9="前")</formula>
    </cfRule>
  </conditionalFormatting>
  <conditionalFormatting sqref="W9:X9">
    <cfRule type="expression" dxfId="120" priority="64">
      <formula>AND(W$9="引")</formula>
    </cfRule>
    <cfRule type="expression" dxfId="119" priority="65">
      <formula>AND(W$9="前")</formula>
    </cfRule>
  </conditionalFormatting>
  <conditionalFormatting sqref="W9:AA9">
    <cfRule type="expression" dxfId="118" priority="157">
      <formula>AND(W$9="前")</formula>
    </cfRule>
    <cfRule type="expression" dxfId="117" priority="156">
      <formula>AND(W$9="引")</formula>
    </cfRule>
  </conditionalFormatting>
  <conditionalFormatting sqref="W9:AH9">
    <cfRule type="expression" dxfId="116" priority="302">
      <formula>AND(W$9="引")</formula>
    </cfRule>
    <cfRule type="expression" dxfId="115" priority="303">
      <formula>AND(W$9="前")</formula>
    </cfRule>
  </conditionalFormatting>
  <conditionalFormatting sqref="X9:Y9">
    <cfRule type="expression" dxfId="114" priority="208">
      <formula>AND(X$9="引")</formula>
    </cfRule>
    <cfRule type="expression" dxfId="113" priority="209">
      <formula>AND(X$9="前")</formula>
    </cfRule>
    <cfRule type="expression" dxfId="112" priority="204">
      <formula>AND(X$9="引")</formula>
    </cfRule>
    <cfRule type="expression" dxfId="111" priority="205">
      <formula>AND(X$9="前")</formula>
    </cfRule>
    <cfRule type="expression" dxfId="110" priority="206">
      <formula>AND(X$9="引")</formula>
    </cfRule>
    <cfRule type="expression" dxfId="109" priority="207">
      <formula>AND(X$9="前")</formula>
    </cfRule>
  </conditionalFormatting>
  <conditionalFormatting sqref="X10:Y10">
    <cfRule type="expression" dxfId="108" priority="55">
      <formula>AND(X$9="前")</formula>
    </cfRule>
    <cfRule type="expression" dxfId="107" priority="54">
      <formula>AND(X$9="引")</formula>
    </cfRule>
  </conditionalFormatting>
  <conditionalFormatting sqref="X9:Z9">
    <cfRule type="expression" dxfId="106" priority="223">
      <formula>AND(X$9="前")</formula>
    </cfRule>
    <cfRule type="expression" dxfId="105" priority="222">
      <formula>AND(X$9="引")</formula>
    </cfRule>
    <cfRule type="expression" dxfId="104" priority="226">
      <formula>AND(X$9="引")</formula>
    </cfRule>
    <cfRule type="expression" dxfId="103" priority="227">
      <formula>AND(X$9="前")</formula>
    </cfRule>
    <cfRule type="expression" dxfId="102" priority="228">
      <formula>AND(X$9="引")</formula>
    </cfRule>
    <cfRule type="expression" dxfId="101" priority="229">
      <formula>AND(X$9="前")</formula>
    </cfRule>
  </conditionalFormatting>
  <conditionalFormatting sqref="X9:AB9">
    <cfRule type="expression" dxfId="100" priority="230">
      <formula>AND(X$9="引")</formula>
    </cfRule>
    <cfRule type="expression" dxfId="99" priority="231">
      <formula>AND(X$9="前")</formula>
    </cfRule>
  </conditionalFormatting>
  <conditionalFormatting sqref="Y9">
    <cfRule type="expression" dxfId="98" priority="267">
      <formula>AND(Y$9="前")</formula>
    </cfRule>
    <cfRule type="expression" dxfId="97" priority="266">
      <formula>AND(Y$9="引")</formula>
    </cfRule>
  </conditionalFormatting>
  <conditionalFormatting sqref="Z9">
    <cfRule type="expression" dxfId="96" priority="225">
      <formula>AND(Z$9="前")</formula>
    </cfRule>
    <cfRule type="expression" dxfId="95" priority="224">
      <formula>AND(Z$9="引")</formula>
    </cfRule>
  </conditionalFormatting>
  <conditionalFormatting sqref="Z9:Z11">
    <cfRule type="expression" dxfId="94" priority="264">
      <formula>AND(Z$9="引")</formula>
    </cfRule>
    <cfRule type="expression" dxfId="93" priority="265">
      <formula>AND(Z$9="前")</formula>
    </cfRule>
  </conditionalFormatting>
  <conditionalFormatting sqref="Z12 Z13:AH15 P15:U15">
    <cfRule type="expression" dxfId="92" priority="9">
      <formula>AND(P$9="前")</formula>
    </cfRule>
  </conditionalFormatting>
  <conditionalFormatting sqref="Z16:AB18">
    <cfRule type="expression" dxfId="91" priority="26">
      <formula>AND(Z$9="前")</formula>
    </cfRule>
  </conditionalFormatting>
  <conditionalFormatting sqref="Z9:AG9">
    <cfRule type="expression" dxfId="90" priority="182">
      <formula>AND(Z$9="引")</formula>
    </cfRule>
    <cfRule type="expression" dxfId="89" priority="183">
      <formula>AND(Z$9="前")</formula>
    </cfRule>
  </conditionalFormatting>
  <conditionalFormatting sqref="AA9">
    <cfRule type="expression" dxfId="88" priority="175">
      <formula>AND(AA$9="前")</formula>
    </cfRule>
    <cfRule type="expression" dxfId="87" priority="176">
      <formula>AND(AA$9="引")</formula>
    </cfRule>
    <cfRule type="expression" dxfId="86" priority="177">
      <formula>AND(AA$9="前")</formula>
    </cfRule>
    <cfRule type="expression" dxfId="85" priority="179">
      <formula>AND(AA$9="前")</formula>
    </cfRule>
    <cfRule type="expression" dxfId="84" priority="180">
      <formula>AND(AA$9="引")</formula>
    </cfRule>
    <cfRule type="expression" dxfId="83" priority="181">
      <formula>AND(AA$9="前")</formula>
    </cfRule>
    <cfRule type="expression" dxfId="82" priority="178">
      <formula>AND(AA$9="引")</formula>
    </cfRule>
    <cfRule type="expression" dxfId="81" priority="246">
      <formula>AND(AA$9="引")</formula>
    </cfRule>
    <cfRule type="expression" dxfId="80" priority="247">
      <formula>AND(AA$9="前")</formula>
    </cfRule>
    <cfRule type="expression" dxfId="79" priority="174">
      <formula>AND(AA$9="引")</formula>
    </cfRule>
  </conditionalFormatting>
  <conditionalFormatting sqref="AA9:AB9">
    <cfRule type="expression" dxfId="78" priority="245">
      <formula>AND(AA$9="前")</formula>
    </cfRule>
    <cfRule type="expression" dxfId="77" priority="287">
      <formula>AND(AA$9="前")</formula>
    </cfRule>
    <cfRule type="expression" dxfId="76" priority="271">
      <formula>AND(AA$9="前")</formula>
    </cfRule>
    <cfRule type="expression" dxfId="75" priority="244">
      <formula>AND(AA$9="引")</formula>
    </cfRule>
    <cfRule type="expression" dxfId="74" priority="270">
      <formula>AND(AA$9="引")</formula>
    </cfRule>
    <cfRule type="expression" dxfId="73" priority="286">
      <formula>AND(AA$9="引")</formula>
    </cfRule>
  </conditionalFormatting>
  <conditionalFormatting sqref="AA9:AC9">
    <cfRule type="expression" dxfId="72" priority="84">
      <formula>AND(AA$9="引")</formula>
    </cfRule>
    <cfRule type="expression" dxfId="71" priority="85">
      <formula>AND(AA$9="前")</formula>
    </cfRule>
    <cfRule type="expression" dxfId="70" priority="113">
      <formula>AND(AA$9="前")</formula>
    </cfRule>
    <cfRule type="expression" dxfId="69" priority="112">
      <formula>AND(AA$9="引")</formula>
    </cfRule>
  </conditionalFormatting>
  <conditionalFormatting sqref="AA10:AG12 O11:Y12">
    <cfRule type="expression" dxfId="68" priority="10">
      <formula>AND(O$9="引")</formula>
    </cfRule>
    <cfRule type="expression" dxfId="67" priority="11">
      <formula>AND(O$9="前")</formula>
    </cfRule>
  </conditionalFormatting>
  <conditionalFormatting sqref="AB9">
    <cfRule type="expression" dxfId="66" priority="277">
      <formula>AND(AB$9="前")</formula>
    </cfRule>
    <cfRule type="expression" dxfId="65" priority="285">
      <formula>AND(AB$9="前")</formula>
    </cfRule>
    <cfRule type="expression" dxfId="64" priority="276">
      <formula>AND(AB$9="引")</formula>
    </cfRule>
    <cfRule type="expression" dxfId="63" priority="80">
      <formula>AND(AB$9="引")</formula>
    </cfRule>
    <cfRule type="expression" dxfId="62" priority="83">
      <formula>AND(AB$9="前")</formula>
    </cfRule>
    <cfRule type="expression" dxfId="61" priority="284">
      <formula>AND(AB$9="引")</formula>
    </cfRule>
    <cfRule type="expression" dxfId="60" priority="82">
      <formula>AND(AB$9="引")</formula>
    </cfRule>
    <cfRule type="expression" dxfId="59" priority="81">
      <formula>AND(AB$9="前")</formula>
    </cfRule>
  </conditionalFormatting>
  <conditionalFormatting sqref="AB9:AC9">
    <cfRule type="expression" dxfId="58" priority="293">
      <formula>AND(AB$9="前")</formula>
    </cfRule>
    <cfRule type="expression" dxfId="57" priority="292">
      <formula>AND(AB$9="引")</formula>
    </cfRule>
    <cfRule type="expression" dxfId="56" priority="98">
      <formula>AND(AB$9="引")</formula>
    </cfRule>
    <cfRule type="expression" dxfId="55" priority="100">
      <formula>AND(AB$9="引")</formula>
    </cfRule>
    <cfRule type="expression" dxfId="54" priority="99">
      <formula>AND(AB$9="前")</formula>
    </cfRule>
    <cfRule type="expression" dxfId="53" priority="101">
      <formula>AND(AB$9="前")</formula>
    </cfRule>
    <cfRule type="expression" dxfId="52" priority="102">
      <formula>AND(AB$9="引")</formula>
    </cfRule>
    <cfRule type="expression" dxfId="51" priority="103">
      <formula>AND(AB$9="前")</formula>
    </cfRule>
    <cfRule type="expression" dxfId="50" priority="294">
      <formula>AND(AB$9="引")</formula>
    </cfRule>
    <cfRule type="expression" dxfId="49" priority="295">
      <formula>AND(AB$9="前")</formula>
    </cfRule>
  </conditionalFormatting>
  <conditionalFormatting sqref="AB9:AD9">
    <cfRule type="expression" dxfId="48" priority="62">
      <formula>AND(AB$9="引")</formula>
    </cfRule>
    <cfRule type="expression" dxfId="47" priority="63">
      <formula>AND(AB$9="前")</formula>
    </cfRule>
  </conditionalFormatting>
  <conditionalFormatting sqref="AC9">
    <cfRule type="expression" dxfId="46" priority="107">
      <formula>AND(AC$9="前")</formula>
    </cfRule>
    <cfRule type="expression" dxfId="45" priority="108">
      <formula>AND(AC$9="引")</formula>
    </cfRule>
    <cfRule type="expression" dxfId="44" priority="109">
      <formula>AND(AC$9="前")</formula>
    </cfRule>
    <cfRule type="expression" dxfId="43" priority="110">
      <formula>AND(AC$9="引")</formula>
    </cfRule>
    <cfRule type="expression" dxfId="42" priority="111">
      <formula>AND(AC$9="前")</formula>
    </cfRule>
    <cfRule type="expression" dxfId="41" priority="105">
      <formula>AND(AC$9="前")</formula>
    </cfRule>
    <cfRule type="expression" dxfId="40" priority="106">
      <formula>AND(AC$9="引")</formula>
    </cfRule>
    <cfRule type="expression" dxfId="39" priority="104">
      <formula>AND(AC$9="引")</formula>
    </cfRule>
  </conditionalFormatting>
  <conditionalFormatting sqref="AC9:AD9">
    <cfRule type="expression" dxfId="38" priority="60">
      <formula>AND(AC$9="引")</formula>
    </cfRule>
    <cfRule type="expression" dxfId="37" priority="61">
      <formula>AND(AC$9="前")</formula>
    </cfRule>
  </conditionalFormatting>
  <conditionalFormatting sqref="AC9:AE9">
    <cfRule type="expression" dxfId="36" priority="154">
      <formula>AND(AC$9="引")</formula>
    </cfRule>
    <cfRule type="expression" dxfId="35" priority="155">
      <formula>AND(AC$9="前")</formula>
    </cfRule>
  </conditionalFormatting>
  <conditionalFormatting sqref="AC18:AH18">
    <cfRule type="expression" dxfId="34" priority="20">
      <formula>AND(AC$9="前")</formula>
    </cfRule>
  </conditionalFormatting>
  <conditionalFormatting sqref="AC18:AI21">
    <cfRule type="expression" dxfId="33" priority="17">
      <formula>AND(AC$9="引")</formula>
    </cfRule>
  </conditionalFormatting>
  <conditionalFormatting sqref="AD9:AE9">
    <cfRule type="expression" dxfId="32" priority="283">
      <formula>AND(AD$9="前")</formula>
    </cfRule>
    <cfRule type="expression" dxfId="31" priority="282">
      <formula>AND(AD$9="引")</formula>
    </cfRule>
  </conditionalFormatting>
  <conditionalFormatting sqref="AE9:AG9">
    <cfRule type="expression" dxfId="30" priority="300">
      <formula>AND(AE$9="引")</formula>
    </cfRule>
    <cfRule type="expression" dxfId="29" priority="301">
      <formula>AND(AE$9="前")</formula>
    </cfRule>
    <cfRule type="expression" dxfId="28" priority="216">
      <formula>AND(AE$9="引")</formula>
    </cfRule>
    <cfRule type="expression" dxfId="27" priority="217">
      <formula>AND(AE$9="前")</formula>
    </cfRule>
    <cfRule type="expression" dxfId="26" priority="219">
      <formula>AND(AE$9="前")</formula>
    </cfRule>
    <cfRule type="expression" dxfId="25" priority="218">
      <formula>AND(AE$9="引")</formula>
    </cfRule>
  </conditionalFormatting>
  <conditionalFormatting sqref="AE9:AH9">
    <cfRule type="expression" dxfId="24" priority="221">
      <formula>AND(AE$9="前")</formula>
    </cfRule>
    <cfRule type="expression" dxfId="23" priority="263">
      <formula>AND(AE$9="前")</formula>
    </cfRule>
    <cfRule type="expression" dxfId="22" priority="262">
      <formula>AND(AE$9="引")</formula>
    </cfRule>
    <cfRule type="expression" dxfId="21" priority="220">
      <formula>AND(AE$9="引")</formula>
    </cfRule>
  </conditionalFormatting>
  <conditionalFormatting sqref="AF9:AG9">
    <cfRule type="expression" dxfId="20" priority="215">
      <formula>AND(AF$9="前")</formula>
    </cfRule>
    <cfRule type="expression" dxfId="19" priority="214">
      <formula>AND(AF$9="引")</formula>
    </cfRule>
  </conditionalFormatting>
  <conditionalFormatting sqref="AF9:AH9">
    <cfRule type="expression" dxfId="18" priority="162">
      <formula>AND(AF$9="引")</formula>
    </cfRule>
    <cfRule type="expression" dxfId="17" priority="163">
      <formula>AND(AF$9="前")</formula>
    </cfRule>
    <cfRule type="expression" dxfId="16" priority="172">
      <formula>AND(AF$9="引")</formula>
    </cfRule>
    <cfRule type="expression" dxfId="15" priority="173">
      <formula>AND(AF$9="前")</formula>
    </cfRule>
  </conditionalFormatting>
  <conditionalFormatting sqref="AH9">
    <cfRule type="expression" dxfId="14" priority="243">
      <formula>AND(AH$9="前")</formula>
    </cfRule>
    <cfRule type="expression" dxfId="13" priority="242">
      <formula>AND(AH$9="引")</formula>
    </cfRule>
    <cfRule type="expression" dxfId="12" priority="169">
      <formula>AND(AH$9="前")</formula>
    </cfRule>
    <cfRule type="expression" dxfId="11" priority="170">
      <formula>AND(AH$9="引")</formula>
    </cfRule>
    <cfRule type="expression" dxfId="10" priority="160">
      <formula>AND(AH$9="引")</formula>
    </cfRule>
    <cfRule type="expression" dxfId="9" priority="161">
      <formula>AND(AH$9="前")</formula>
    </cfRule>
    <cfRule type="expression" dxfId="8" priority="168">
      <formula>AND(AH$9="引")</formula>
    </cfRule>
    <cfRule type="expression" dxfId="7" priority="171">
      <formula>AND(AH$9="前")</formula>
    </cfRule>
    <cfRule type="expression" dxfId="6" priority="164">
      <formula>AND(AH$9="引")</formula>
    </cfRule>
    <cfRule type="expression" dxfId="5" priority="165">
      <formula>AND(AH$9="前")</formula>
    </cfRule>
    <cfRule type="expression" dxfId="4" priority="166">
      <formula>AND(AH$9="引")</formula>
    </cfRule>
    <cfRule type="expression" dxfId="3" priority="167">
      <formula>AND(AH$9="前")</formula>
    </cfRule>
  </conditionalFormatting>
  <conditionalFormatting sqref="AH9:AH12">
    <cfRule type="expression" dxfId="2" priority="46">
      <formula>AND(AH$9="引")</formula>
    </cfRule>
    <cfRule type="expression" dxfId="1" priority="47">
      <formula>AND(AH$9="前")</formula>
    </cfRule>
  </conditionalFormatting>
  <conditionalFormatting sqref="AI7:AI14 D9:E9 AC9:AC11 AI16">
    <cfRule type="expression" dxfId="0" priority="315">
      <formula>AND(D$9="前")</formula>
    </cfRule>
  </conditionalFormatting>
  <dataValidations count="1">
    <dataValidation type="list" allowBlank="1" showInputMessage="1" showErrorMessage="1" sqref="D9:AH9" xr:uid="{05097F0E-4588-4413-B64F-944F5C9D62C1}">
      <formula1>"引,前"</formula1>
    </dataValidation>
  </dataValidations>
  <printOptions horizontalCentered="1"/>
  <pageMargins left="0.23622047244094491" right="0" top="0.74803149606299213" bottom="0.19685039370078741" header="0.31496062992125984" footer="0.31496062992125984"/>
  <pageSetup paperSize="9" scale="6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原本</vt:lpstr>
      <vt:lpstr>原本!Print_Area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フレシード齊田</dc:creator>
  <cp:lastModifiedBy>フレシード齊田</cp:lastModifiedBy>
  <cp:lastPrinted>2026-08-25T02:28:54Z</cp:lastPrinted>
  <dcterms:created xsi:type="dcterms:W3CDTF">2024-04-02T08:27:45Z</dcterms:created>
  <dcterms:modified xsi:type="dcterms:W3CDTF">2026-09-12T05:17:09Z</dcterms:modified>
</cp:coreProperties>
</file>